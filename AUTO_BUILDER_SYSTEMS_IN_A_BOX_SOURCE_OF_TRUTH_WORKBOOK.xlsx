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4220e166c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mmand_Center" sheetId="1" r:id="R78c0a72a7ee4409e"/>
    <x:sheet xmlns:r="http://schemas.openxmlformats.org/officeDocument/2006/relationships" name="01_Source_Inventory" sheetId="2" r:id="R02002ba230114ce6"/>
    <x:sheet xmlns:r="http://schemas.openxmlformats.org/officeDocument/2006/relationships" name="02_Production_Intake" sheetId="3" r:id="R758b04344e41402a"/>
    <x:sheet xmlns:r="http://schemas.openxmlformats.org/officeDocument/2006/relationships" name="03_Browser_Research_Protocol" sheetId="4" r:id="R9d12049830e641aa"/>
    <x:sheet xmlns:r="http://schemas.openxmlformats.org/officeDocument/2006/relationships" name="04_Top3_Benchmark_Scorecard" sheetId="5" r:id="R115abcb180ed4d6a"/>
    <x:sheet xmlns:r="http://schemas.openxmlformats.org/officeDocument/2006/relationships" name="05_Strengths_Weaknesses_Fixes" sheetId="6" r:id="R3a4401c65d8d4d91"/>
    <x:sheet xmlns:r="http://schemas.openxmlformats.org/officeDocument/2006/relationships" name="06_10pct_Enhancement_Model" sheetId="7" r:id="R822c559fa8c74027"/>
    <x:sheet xmlns:r="http://schemas.openxmlformats.org/officeDocument/2006/relationships" name="07_Universal_Agent_Spec" sheetId="8" r:id="R930fe801a09543bb"/>
    <x:sheet xmlns:r="http://schemas.openxmlformats.org/officeDocument/2006/relationships" name="08_Workflow_System_Blueprint" sheetId="9" r:id="R140d098b7dd046dd"/>
    <x:sheet xmlns:r="http://schemas.openxmlformats.org/officeDocument/2006/relationships" name="09_Stack_Connector_Map" sheetId="10" r:id="Ra4200df6e6a94138"/>
    <x:sheet xmlns:r="http://schemas.openxmlformats.org/officeDocument/2006/relationships" name="10_Env_Credentials_Register" sheetId="11" r:id="R7c33e3d8638c4e66"/>
    <x:sheet xmlns:r="http://schemas.openxmlformats.org/officeDocument/2006/relationships" name="11_Social_Lead_Gen_OS" sheetId="12" r:id="R90644cf7875e4c3b"/>
    <x:sheet xmlns:r="http://schemas.openxmlformats.org/officeDocument/2006/relationships" name="12_Branding_Pack_Examples" sheetId="13" r:id="Rb7d0112c9c7e4431"/>
    <x:sheet xmlns:r="http://schemas.openxmlformats.org/officeDocument/2006/relationships" name="13_Business_Strategy_Plan" sheetId="14" r:id="R1357090fd2c24c92"/>
    <x:sheet xmlns:r="http://schemas.openxmlformats.org/officeDocument/2006/relationships" name="14_Psychology_Growth_Model" sheetId="15" r:id="R190d00b542444ffd"/>
    <x:sheet xmlns:r="http://schemas.openxmlformats.org/officeDocument/2006/relationships" name="15_Roadmap_Goal_System" sheetId="16" r:id="Rdea66efc240242ac"/>
    <x:sheet xmlns:r="http://schemas.openxmlformats.org/officeDocument/2006/relationships" name="16_Financial_Growth_Model" sheetId="17" r:id="Rc94c9da2285347a9"/>
    <x:sheet xmlns:r="http://schemas.openxmlformats.org/officeDocument/2006/relationships" name="17_Governance_QA_Gates" sheetId="18" r:id="R503d3416b5cf4d6f"/>
    <x:sheet xmlns:r="http://schemas.openxmlformats.org/officeDocument/2006/relationships" name="18_Validation_Test_Plan" sheetId="19" r:id="Rbd2337a4519b45cc"/>
    <x:sheet xmlns:r="http://schemas.openxmlformats.org/officeDocument/2006/relationships" name="19_Implementation_Handoff" sheetId="20" r:id="R45f185b92fd447ef"/>
    <x:sheet xmlns:r="http://schemas.openxmlformats.org/officeDocument/2006/relationships" name="20_Prompt_Library" sheetId="21" r:id="Rbb0daa47288846bc"/>
    <x:sheet xmlns:r="http://schemas.openxmlformats.org/officeDocument/2006/relationships" name="21_Lists" sheetId="22" r:id="R3f1d45ca52e74a22"/>
    <x:sheet xmlns:r="http://schemas.openxmlformats.org/officeDocument/2006/relationships" name="22_Supabase_Schema_Template" sheetId="23" r:id="R74922a10ede04386"/>
    <x:sheet xmlns:r="http://schemas.openxmlformats.org/officeDocument/2006/relationships" name="23_Autonomous_Execution_DAG" sheetId="24" r:id="R2939cf14dcd347ef"/>
    <x:sheet xmlns:r="http://schemas.openxmlformats.org/officeDocument/2006/relationships" name="24_Documentation_Checklist" sheetId="25" r:id="Re918c33d0e31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0B1F33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581a7362f49b7" /><Relationship Type="http://schemas.openxmlformats.org/officeDocument/2006/relationships/theme" Target="/xl/theme/theme1.xml" Id="R0402f3d8c47e4163" /><Relationship Type="http://schemas.openxmlformats.org/officeDocument/2006/relationships/sharedStrings" Target="/xl/sharedStrings.xml" Id="Rb22b353da34a48d1" /><Relationship Type="http://schemas.openxmlformats.org/officeDocument/2006/relationships/worksheet" Target="/xl/worksheets/sheet1.xml" Id="R78c0a72a7ee4409e" /><Relationship Type="http://schemas.openxmlformats.org/officeDocument/2006/relationships/worksheet" Target="/xl/worksheets/sheet2.xml" Id="R02002ba230114ce6" /><Relationship Type="http://schemas.openxmlformats.org/officeDocument/2006/relationships/worksheet" Target="/xl/worksheets/sheet3.xml" Id="R758b04344e41402a" /><Relationship Type="http://schemas.openxmlformats.org/officeDocument/2006/relationships/worksheet" Target="/xl/worksheets/sheet4.xml" Id="R9d12049830e641aa" /><Relationship Type="http://schemas.openxmlformats.org/officeDocument/2006/relationships/worksheet" Target="/xl/worksheets/sheet5.xml" Id="R115abcb180ed4d6a" /><Relationship Type="http://schemas.openxmlformats.org/officeDocument/2006/relationships/worksheet" Target="/xl/worksheets/sheet6.xml" Id="R3a4401c65d8d4d91" /><Relationship Type="http://schemas.openxmlformats.org/officeDocument/2006/relationships/worksheet" Target="/xl/worksheets/sheet7.xml" Id="R822c559fa8c74027" /><Relationship Type="http://schemas.openxmlformats.org/officeDocument/2006/relationships/worksheet" Target="/xl/worksheets/sheet8.xml" Id="R930fe801a09543bb" /><Relationship Type="http://schemas.openxmlformats.org/officeDocument/2006/relationships/worksheet" Target="/xl/worksheets/sheet9.xml" Id="R140d098b7dd046dd" /><Relationship Type="http://schemas.openxmlformats.org/officeDocument/2006/relationships/worksheet" Target="/xl/worksheets/sheet10.xml" Id="Ra4200df6e6a94138" /><Relationship Type="http://schemas.openxmlformats.org/officeDocument/2006/relationships/worksheet" Target="/xl/worksheets/sheet11.xml" Id="R7c33e3d8638c4e66" /><Relationship Type="http://schemas.openxmlformats.org/officeDocument/2006/relationships/worksheet" Target="/xl/worksheets/sheet12.xml" Id="R90644cf7875e4c3b" /><Relationship Type="http://schemas.openxmlformats.org/officeDocument/2006/relationships/worksheet" Target="/xl/worksheets/sheet13.xml" Id="Rb7d0112c9c7e4431" /><Relationship Type="http://schemas.openxmlformats.org/officeDocument/2006/relationships/worksheet" Target="/xl/worksheets/sheet14.xml" Id="R1357090fd2c24c92" /><Relationship Type="http://schemas.openxmlformats.org/officeDocument/2006/relationships/worksheet" Target="/xl/worksheets/sheet15.xml" Id="R190d00b542444ffd" /><Relationship Type="http://schemas.openxmlformats.org/officeDocument/2006/relationships/worksheet" Target="/xl/worksheets/sheet16.xml" Id="Rdea66efc240242ac" /><Relationship Type="http://schemas.openxmlformats.org/officeDocument/2006/relationships/worksheet" Target="/xl/worksheets/sheet17.xml" Id="Rc94c9da2285347a9" /><Relationship Type="http://schemas.openxmlformats.org/officeDocument/2006/relationships/worksheet" Target="/xl/worksheets/sheet18.xml" Id="R503d3416b5cf4d6f" /><Relationship Type="http://schemas.openxmlformats.org/officeDocument/2006/relationships/worksheet" Target="/xl/worksheets/sheet19.xml" Id="Rbd2337a4519b45cc" /><Relationship Type="http://schemas.openxmlformats.org/officeDocument/2006/relationships/worksheet" Target="/xl/worksheets/sheet20.xml" Id="R45f185b92fd447ef" /><Relationship Type="http://schemas.openxmlformats.org/officeDocument/2006/relationships/worksheet" Target="/xl/worksheets/sheet21.xml" Id="Rbb0daa47288846bc" /><Relationship Type="http://schemas.openxmlformats.org/officeDocument/2006/relationships/worksheet" Target="/xl/worksheets/sheet22.xml" Id="R3f1d45ca52e74a22" /><Relationship Type="http://schemas.openxmlformats.org/officeDocument/2006/relationships/worksheet" Target="/xl/worksheets/sheet23.xml" Id="R74922a10ede04386" /><Relationship Type="http://schemas.openxmlformats.org/officeDocument/2006/relationships/worksheet" Target="/xl/worksheets/sheet24.xml" Id="R2939cf14dcd347ef" /><Relationship Type="http://schemas.openxmlformats.org/officeDocument/2006/relationships/worksheet" Target="/xl/worksheets/sheet25.xml" Id="Re918c33d0e3144ce" /></Relationships>
</file>

<file path=xl/tables/table1.xml><?xml version="1.0" encoding="utf-8"?>
<x:table xmlns:x="http://schemas.openxmlformats.org/spreadsheetml/2006/main" id="1" name="CommandCenter" displayName="CommandCenter" ref="A3:B9" headerRowCount="1">
  <x:tableColumns count="2">
    <x:tableColumn id="1" name="Section"/>
    <x:tableColumn id="2" name="Requirement"/>
  </x:tableColumns>
  <x:tableStyleInfo name="TableStyleMedium2" showRowStripes="1"/>
</x:table>
</file>

<file path=xl/tables/table2.xml><?xml version="1.0" encoding="utf-8"?>
<x:table xmlns:x="http://schemas.openxmlformats.org/spreadsheetml/2006/main" id="2" name="SourceInventory" displayName="SourceInventory" ref="A3:F16" headerRowCount="1">
  <x:tableColumns count="6">
    <x:tableColumn id="1" name="File"/>
    <x:tableColumn id="2" name="Source Role"/>
    <x:tableColumn id="3" name="Type"/>
    <x:tableColumn id="4" name="Count"/>
    <x:tableColumn id="5" name="Representative Contents / Sheets"/>
    <x:tableColumn id="6" name="How It Was Used"/>
  </x:tableColumns>
  <x:tableStyleInfo name="TableStyleMedium2" showRowStripes="1"/>
</x:table>
</file>

<file path=xl/tables/table3.xml><?xml version="1.0" encoding="utf-8"?>
<x:table xmlns:x="http://schemas.openxmlformats.org/spreadsheetml/2006/main" id="3" name="IntakeQuestions" displayName="IntakeQuestions" ref="A3:E21" headerRowCount="1">
  <x:tableColumns count="5">
    <x:tableColumn id="1" name="Category"/>
    <x:tableColumn id="2" name="Question"/>
    <x:tableColumn id="3" name="Required"/>
    <x:tableColumn id="4" name="Source"/>
    <x:tableColumn id="5" name="Why It Matters"/>
  </x:tableColumns>
  <x:tableStyleInfo name="TableStyleMedium2" showRowStripes="1"/>
</x:table>
</file>

<file path=xl/tables/table4.xml><?xml version="1.0" encoding="utf-8"?>
<x:table xmlns:x="http://schemas.openxmlformats.org/spreadsheetml/2006/main" id="4" name="BrowserResearch" displayName="BrowserResearch" ref="A3:E11" headerRowCount="1">
  <x:tableColumns count="5">
    <x:tableColumn id="1" name="Step"/>
    <x:tableColumn id="2" name="Stage"/>
    <x:tableColumn id="3" name="Action"/>
    <x:tableColumn id="4" name="Output"/>
    <x:tableColumn id="5" name="Gate"/>
  </x:tableColumns>
  <x:tableStyleInfo name="TableStyleMedium2" showRowStripes="1"/>
</x:table>
</file>

<file path=xl/tables/table5.xml><?xml version="1.0" encoding="utf-8"?>
<x:table xmlns:x="http://schemas.openxmlformats.org/spreadsheetml/2006/main" id="5" name="BenchmarkScorecard" displayName="BenchmarkScorecard" ref="A3:J16" headerRowCount="1">
  <x:tableColumns count="10">
    <x:tableColumn id="1" name="Metric"/>
    <x:tableColumn id="2" name="Weight"/>
    <x:tableColumn id="3" name="System 1 Score"/>
    <x:tableColumn id="4" name="System 1 Notes"/>
    <x:tableColumn id="5" name="System 2 Score"/>
    <x:tableColumn id="6" name="System 2 Notes"/>
    <x:tableColumn id="7" name="System 3 Score"/>
    <x:tableColumn id="8" name="System 3 Notes"/>
    <x:tableColumn id="9" name="Best Combined Pattern"/>
    <x:tableColumn id="10" name="Risk/Legal Note"/>
  </x:tableColumns>
  <x:tableStyleInfo name="TableStyleMedium2" showRowStripes="1"/>
</x:table>
</file>

<file path=xl/tables/table6.xml><?xml version="1.0" encoding="utf-8"?>
<x:table xmlns:x="http://schemas.openxmlformats.org/spreadsheetml/2006/main" id="6" name="StrengthsFixes" displayName="StrengthsFixes" ref="A3:J15" headerRowCount="1">
  <x:tableColumns count="10">
    <x:tableColumn id="1" name="System Area"/>
    <x:tableColumn id="2" name="Strength from System 1"/>
    <x:tableColumn id="3" name="Strength from System 2"/>
    <x:tableColumn id="4" name="Strength from System 3"/>
    <x:tableColumn id="5" name="Weakness Observed"/>
    <x:tableColumn id="6" name="Root Cause"/>
    <x:tableColumn id="7" name="Fix Design"/>
    <x:tableColumn id="8" name="10% Enhancement Hypothesis"/>
    <x:tableColumn id="9" name="Owner"/>
    <x:tableColumn id="10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AgentSpec" displayName="AgentSpec" ref="A3:C22" headerRowCount="1">
  <x:tableColumns count="3">
    <x:tableColumn id="1" name="Field"/>
    <x:tableColumn id="2" name="Value / Instruction"/>
    <x:tableColumn id="3" name="Required"/>
  </x:tableColumns>
  <x:tableStyleInfo name="TableStyleMedium2" showRowStripes="1"/>
</x:table>
</file>

<file path=xl/tables/table8.xml><?xml version="1.0" encoding="utf-8"?>
<x:table xmlns:x="http://schemas.openxmlformats.org/spreadsheetml/2006/main" id="8" name="SystemBlueprint" displayName="SystemBlueprint" ref="A3:H13" headerRowCount="1">
  <x:tableColumns count="8">
    <x:tableColumn id="1" name="Stage"/>
    <x:tableColumn id="2" name="Inputs"/>
    <x:tableColumn id="3" name="Actions"/>
    <x:tableColumn id="4" name="Outputs"/>
    <x:tableColumn id="5" name="Tools"/>
    <x:tableColumn id="6" name="Data Objects"/>
    <x:tableColumn id="7" name="Failure Modes"/>
    <x:tableColumn id="8" name="Gate"/>
  </x:tableColumns>
  <x:tableStyleInfo name="TableStyleMedium2" showRowStripes="1"/>
</x:table>
</file>

<file path=xl/tables/table9.xml><?xml version="1.0" encoding="utf-8"?>
<x:table xmlns:x="http://schemas.openxmlformats.org/spreadsheetml/2006/main" id="9" name="StackMap" displayName="StackMap" ref="A3:E14" headerRowCount="1">
  <x:tableColumns count="5">
    <x:tableColumn id="1" name="Tool"/>
    <x:tableColumn id="2" name="Role"/>
    <x:tableColumn id="3" name="Use In System"/>
    <x:tableColumn id="4" name="Credentials / Environment Needed"/>
    <x:tableColumn id="5" name="Governance Gate"/>
  </x:tableColumns>
  <x:tableStyleInfo name="TableStyleMedium2" showRowStripes="1"/>
</x:table>
</file>

<file path=xl/tables/table10.xml><?xml version="1.0" encoding="utf-8"?>
<x:table xmlns:x="http://schemas.openxmlformats.org/spreadsheetml/2006/main" id="10" name="CredentialRegister" displayName="CredentialRegister" ref="A3:G13" headerRowCount="1">
  <x:tableColumns count="7">
    <x:tableColumn id="1" name="Variable / Access"/>
    <x:tableColumn id="2" name="Platform"/>
    <x:tableColumn id="3" name="Scope"/>
    <x:tableColumn id="4" name="Need Level"/>
    <x:tableColumn id="5" name="Secret?"/>
    <x:tableColumn id="6" name="Purpose"/>
    <x:tableColumn id="7" name="Owner/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cialLeadGen" displayName="SocialLeadGen" ref="A3:J15" headerRowCount="1">
  <x:tableColumns count="10">
    <x:tableColumn id="1" name="Channel"/>
    <x:tableColumn id="2" name="Audience Job"/>
    <x:tableColumn id="3" name="Content Pillars"/>
    <x:tableColumn id="4" name="Posting Cadence"/>
    <x:tableColumn id="5" name="Lead Magnet"/>
    <x:tableColumn id="6" name="CTA"/>
    <x:tableColumn id="7" name="Automation"/>
    <x:tableColumn id="8" name="Approval Gate"/>
    <x:tableColumn id="9" name="KPI"/>
    <x:tableColumn id="10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BrandPack" displayName="BrandPack" ref="A3:K6" headerRowCount="1">
  <x:tableColumns count="11">
    <x:tableColumn id="1" name="Example"/>
    <x:tableColumn id="2" name="Reference Type"/>
    <x:tableColumn id="3" name="Reference URL/File"/>
    <x:tableColumn id="4" name="Visual Traits"/>
    <x:tableColumn id="5" name="Psychology"/>
    <x:tableColumn id="6" name="Match Rules"/>
    <x:tableColumn id="7" name="Differentiation Rules"/>
    <x:tableColumn id="8" name="Avoid"/>
    <x:tableColumn id="9" name="Assets Needed"/>
    <x:tableColumn id="10" name="Production Notes"/>
    <x:tableColumn id="11" name="Approval"/>
  </x:tableColumns>
  <x:tableStyleInfo name="TableStyleMedium2" showRowStripes="1"/>
</x:table>
</file>

<file path=xl/tables/table13.xml><?xml version="1.0" encoding="utf-8"?>
<x:table xmlns:x="http://schemas.openxmlformats.org/spreadsheetml/2006/main" id="13" name="BusinessPlan" displayName="BusinessPlan" ref="A3:F16" headerRowCount="1">
  <x:tableColumns count="6">
    <x:tableColumn id="1" name="Section"/>
    <x:tableColumn id="2" name="Verified Inputs"/>
    <x:tableColumn id="3" name="Inferred Strategy"/>
    <x:tableColumn id="4" name="Could Not Verify"/>
    <x:tableColumn id="5" name="Decision Needed"/>
    <x:tableColumn id="6" name="Final Recommendation"/>
  </x:tableColumns>
  <x:tableStyleInfo name="TableStyleMedium2" showRowStripes="1"/>
</x:table>
</file>

<file path=xl/tables/table14.xml><?xml version="1.0" encoding="utf-8"?>
<x:table xmlns:x="http://schemas.openxmlformats.org/spreadsheetml/2006/main" id="14" name="PsychGrowth" displayName="PsychGrowth" ref="A3:D12" headerRowCount="1">
  <x:tableColumns count="4">
    <x:tableColumn id="1" name="Area"/>
    <x:tableColumn id="2" name="Inputs"/>
    <x:tableColumn id="3" name="Application"/>
    <x:tableColumn id="4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oadmapGoals" displayName="RoadmapGoals" ref="A3:F9" headerRowCount="1">
  <x:tableColumns count="6">
    <x:tableColumn id="1" name="Time Horizon"/>
    <x:tableColumn id="2" name="System Milestone"/>
    <x:tableColumn id="3" name="Financial Goal"/>
    <x:tableColumn id="4" name="Social/Lead Goal"/>
    <x:tableColumn id="5" name="Governance Goal"/>
    <x:tableColumn id="6" name="Owner/Status"/>
  </x:tableColumns>
  <x:tableStyleInfo name="TableStyleMedium2" showRowStripes="1"/>
</x:table>
</file>

<file path=xl/tables/table16.xml><?xml version="1.0" encoding="utf-8"?>
<x:table xmlns:x="http://schemas.openxmlformats.org/spreadsheetml/2006/main" id="16" name="FinancialGrowth" displayName="FinancialGrowth" ref="A3:H11" headerRowCount="1">
  <x:tableColumns count="8">
    <x:tableColumn id="1" name="Category"/>
    <x:tableColumn id="2" name="Metric"/>
    <x:tableColumn id="3" name="1 Day"/>
    <x:tableColumn id="4" name="1 Week"/>
    <x:tableColumn id="5" name="1 Month"/>
    <x:tableColumn id="6" name="6 Months"/>
    <x:tableColumn id="7" name="1 Year"/>
    <x:tableColumn id="8" name="3 Years"/>
  </x:tableColumns>
  <x:tableStyleInfo name="TableStyleMedium2" showRowStripes="1"/>
</x:table>
</file>

<file path=xl/tables/table17.xml><?xml version="1.0" encoding="utf-8"?>
<x:table xmlns:x="http://schemas.openxmlformats.org/spreadsheetml/2006/main" id="17" name="GovernanceGates" displayName="GovernanceGates" ref="A3:D11" headerRowCount="1">
  <x:tableColumns count="4">
    <x:tableColumn id="1" name="Gate"/>
    <x:tableColumn id="2" name="Pass Criteria"/>
    <x:tableColumn id="3" name="Approval Requirement"/>
    <x:tableColumn id="4" name="Status/Evidence"/>
  </x:tableColumns>
  <x:tableStyleInfo name="TableStyleMedium2" showRowStripes="1"/>
</x:table>
</file>

<file path=xl/tables/table18.xml><?xml version="1.0" encoding="utf-8"?>
<x:table xmlns:x="http://schemas.openxmlformats.org/spreadsheetml/2006/main" id="18" name="ValidationTests" displayName="ValidationTests" ref="A3:F18" headerRowCount="1">
  <x:tableColumns count="6">
    <x:tableColumn id="1" name="Test"/>
    <x:tableColumn id="2" name="Method"/>
    <x:tableColumn id="3" name="Expected Result"/>
    <x:tableColumn id="4" name="Evidence Location"/>
    <x:tableColumn id="5" name="Owner"/>
    <x:tableColumn id="6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ImplementationHandoff" displayName="ImplementationHandoff" ref="A3:D13" headerRowCount="1">
  <x:tableColumns count="4">
    <x:tableColumn id="1" name="Area"/>
    <x:tableColumn id="2" name="Required Contents"/>
    <x:tableColumn id="3" name="Location/Link"/>
    <x:tableColumn id="4" name="Status"/>
  </x:tableColumns>
  <x:tableStyleInfo name="TableStyleMedium2" showRowStripes="1"/>
</x:table>
</file>

<file path=xl/tables/table20.xml><?xml version="1.0" encoding="utf-8"?>
<x:table xmlns:x="http://schemas.openxmlformats.org/spreadsheetml/2006/main" id="20" name="PromptLibrary" displayName="PromptLibrary" ref="A3:B8" headerRowCount="1">
  <x:tableColumns count="2">
    <x:tableColumn id="1" name="Prompt Name"/>
    <x:tableColumn id="2" name="Prompt Text"/>
  </x:tableColumns>
  <x:tableStyleInfo name="TableStyleMedium2" showRowStripes="1"/>
</x:table>
</file>

<file path=xl/tables/table21.xml><?xml version="1.0" encoding="utf-8"?>
<x:table xmlns:x="http://schemas.openxmlformats.org/spreadsheetml/2006/main" id="21" name="ControlLists" displayName="ControlLists" ref="A3:B21" headerRowCount="1">
  <x:tableColumns count="2">
    <x:tableColumn id="1" name="List"/>
    <x:tableColumn id="2" name="Value"/>
  </x:tableColumns>
  <x:tableStyleInfo name="TableStyleMedium2" showRowStripes="1"/>
</x:table>
</file>

<file path=xl/tables/table22.xml><?xml version="1.0" encoding="utf-8"?>
<x:table xmlns:x="http://schemas.openxmlformats.org/spreadsheetml/2006/main" id="22" name="22SupabaseSchemaTempTbl" displayName="22SupabaseSchemaTempTbl" ref="A3:D19" headerRowCount="1">
  <x:tableColumns count="4">
    <x:tableColumn id="1" name="Table"/>
    <x:tableColumn id="2" name="Core Fields"/>
    <x:tableColumn id="3" name="Purpose"/>
    <x:tableColumn id="4" name="RLS / Notes"/>
  </x:tableColumns>
  <x:tableStyleInfo name="TableStyleMedium2" showRowStripes="1"/>
</x:table>
</file>

<file path=xl/tables/table23.xml><?xml version="1.0" encoding="utf-8"?>
<x:table xmlns:x="http://schemas.openxmlformats.org/spreadsheetml/2006/main" id="23" name="23AutonomousExecutioTbl" displayName="23AutonomousExecutioTbl" ref="A3:K18" headerRowCount="1">
  <x:tableColumns count="11">
    <x:tableColumn id="1" name="Node"/>
    <x:tableColumn id="2" name="Trigger"/>
    <x:tableColumn id="3" name="Inputs"/>
    <x:tableColumn id="4" name="Tool/Service"/>
    <x:tableColumn id="5" name="Output"/>
    <x:tableColumn id="6" name="Logs To"/>
    <x:tableColumn id="7" name="Failure Mode"/>
    <x:tableColumn id="8" name="Retry"/>
    <x:tableColumn id="9" name="Rollback"/>
    <x:tableColumn id="10" name="Approval Gate"/>
    <x:tableColumn id="11" name="Status"/>
  </x:tableColumns>
  <x:tableStyleInfo name="TableStyleMedium2" showRowStripes="1"/>
</x:table>
</file>

<file path=xl/tables/table24.xml><?xml version="1.0" encoding="utf-8"?>
<x:table xmlns:x="http://schemas.openxmlformats.org/spreadsheetml/2006/main" id="24" name="24DocumentationCheckTbl" displayName="24DocumentationCheckTbl" ref="A3:D15" headerRowCount="1">
  <x:tableColumns count="4">
    <x:tableColumn id="1" name="Document"/>
    <x:tableColumn id="2" name="Required Contents"/>
    <x:tableColumn id="3" name="Need Level"/>
    <x:tableColumn id="4" name="Status/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53985c1d4a48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3f843aec2e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b0fb0b7bfd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914303d5ca4d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d02062b65c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3dc28d155f444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acddf8a23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a5aec5bf914e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49fb2c6a4b24f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08a1bd019d41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f01603b435e4a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a355400ecc44c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bc8a6a2e2bd46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efc1982832f41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3ced18ed77b45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efd9081060244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29e736ce6c6420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edd1ffae4ca41e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06d5f043cdb4a4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62529dc864b34c7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87cc6c4802d483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6fe59fac696f45f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f21ac74ab28640a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bd3eeb113846422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6" t="str">
        <x:v>AUTO BUILDER SYSTEMS-IN-A-BOX SOURCE OF TRUTH</x:v>
      </x:c>
      <x:c r="B1" s="6" t="str"/>
    </x:row>
    <x:row r="2">
      <x:c r="A2" t="str">
        <x:v>Master operating workbook compiled from uploaded Auto Builder, refactor, sandbox, social, UIUX, constitutional, recursive, and consultant packages.</x:v>
      </x:c>
      <x:c r="B2" t="str"/>
    </x:row>
    <x:row r="3">
      <x:c r="A3" s="16" t="str">
        <x:v>Section</x:v>
      </x:c>
      <x:c r="B3" s="16" t="str">
        <x:v>Requirement</x:v>
      </x:c>
    </x:row>
    <x:row r="4">
      <x:c r="A4" s="22" t="str">
        <x:v>Workbook Purpose</x:v>
      </x:c>
      <x:c r="B4" s="22" t="str">
        <x:v>Create one source-of-truth operating workbook for Auto Builder to build complete agents, workflows, or systems-in-a-box from lawful benchmark research, system design, social/lead-gen production, deployment, and governance.</x:v>
      </x:c>
    </x:row>
    <x:row r="5">
      <x:c r="A5" s="22" t="str">
        <x:v>Operating Loop</x:v>
      </x:c>
      <x:c r="B5" s="22" t="str">
        <x:v>Intake -&gt; Source Truth -&gt; Browser Research -&gt; Top 3 Benchmark -&gt; Strength/Weakness Analysis -&gt; Legal-Safe Differentiation -&gt; Build Spec -&gt; Sandbox Build -&gt; QA Gates -&gt; Approval -&gt; Production -&gt; Monitor -&gt; Improve</x:v>
      </x:c>
    </x:row>
    <x:row r="6">
      <x:c r="A6" s="22" t="str">
        <x:v>Default Stack</x:v>
      </x:c>
      <x:c r="B6" s="22" t="str">
        <x:v>GitHub + Vercel + Next.js + Vercel Sandbox/Workflows/Agents/Crons + Supabase + Shopify where commerce applies + OpenAI orchestration + Xyla creative/publishing + Opus repurposing if needed.</x:v>
      </x:c>
    </x:row>
    <x:row r="7">
      <x:c r="A7" s="22" t="str">
        <x:v>Hard Rule</x:v>
      </x:c>
      <x:c r="B7" s="22" t="str">
        <x:v>Never copy protected IP, code, brands, customer data, trade dress, confidential workflows, or bypass legal/platform restrictions. Build functionally equivalent or better systems through clean-room differentiated design.</x:v>
      </x:c>
    </x:row>
    <x:row r="8">
      <x:c r="A8" s="22" t="str">
        <x:v>Minimum Enhancement Requirement</x:v>
      </x:c>
      <x:c r="B8" s="22" t="str">
        <x:v>Every system must include a verified or modeled 10%+ improvement in profit, efficiency, time saved, cost reduction, conversion rate, retention, throughput, or operational reliability.</x:v>
      </x:c>
    </x:row>
    <x:row r="9">
      <x:c r="A9" s="22" t="str">
        <x:v>Production Readiness</x:v>
      </x:c>
      <x:c r="B9" s="22" t="str">
        <x:v>A system is not done until it has docs, env/credential list, implementation plan, QA tests, monitoring, logging, rollback, approval gates, and final handoff.</x:v>
      </x:c>
    </x:row>
  </x:sheetData>
  <x:pageMargins left="0.7" right="0.7" top="0.75" bottom="0.75" header="0.3" footer="0.3"/>
  <x:tableParts count="1">
    <x:tablePart xmlns:r="http://schemas.openxmlformats.org/officeDocument/2006/relationships" r:id="R1b53985c1d4a48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12" hidden="0" customWidth="1"/>
    <x:col min="5" max="5" width="80" hidden="0" customWidth="1"/>
    <x:col min="6" max="6" width="70" hidden="0" customWidth="1"/>
  </x:cols>
  <x:sheetData>
    <x:row r="1">
      <x:c r="A1" s="6" t="str">
        <x:v>SOURCE INVENTORY</x:v>
      </x:c>
      <x:c r="B1" s="6" t="str"/>
      <x:c r="C1" s="6" t="str"/>
      <x:c r="D1" s="6" t="str"/>
      <x:c r="E1" s="6" t="str"/>
      <x:c r="F1" s="6" t="str"/>
    </x:row>
    <x:row r="2">
      <x:c r="A2" t="str">
        <x:v>Uploaded workbook/package index used to compile this operating workbook.</x:v>
      </x:c>
      <x:c r="B2" t="str"/>
      <x:c r="C2" t="str"/>
      <x:c r="D2" t="str"/>
      <x:c r="E2" t="str"/>
      <x:c r="F2" t="str"/>
    </x:row>
    <x:row r="3">
      <x:c r="A3" s="16" t="str">
        <x:v>File</x:v>
      </x:c>
      <x:c r="B3" s="16" t="str">
        <x:v>Source Role</x:v>
      </x:c>
      <x:c r="C3" s="16" t="str">
        <x:v>Type</x:v>
      </x:c>
      <x:c r="D3" s="16" t="str">
        <x:v>Count</x:v>
      </x:c>
      <x:c r="E3" s="16" t="str">
        <x:v>Representative Contents / Sheets</x:v>
      </x:c>
      <x:c r="F3" s="16" t="str">
        <x:v>How It Was Used</x:v>
      </x:c>
    </x:row>
    <x:row r="4">
      <x:c r="A4" s="22" t="str">
        <x:v>CONSULTANT_TEMPLATES-20260509T184451Z-3-001.zip</x:v>
      </x:c>
      <x:c r="B4" s="22" t="str">
        <x:v>Consultant templates</x:v>
      </x:c>
      <x:c r="C4" s="22" t="str">
        <x:v>ZIP package</x:v>
      </x:c>
      <x:c r="D4" s="22" t="n">
        <x:v>39</x:v>
      </x:c>
      <x:c r="E4" s="22" t="str">
        <x:v>CONSULTANT_TEMPLATES/06_BENCHMARKS/ACCOUNT_OPENING_CHECKLIST.md; CONSULTANT_TEMPLATES/00_MASTER/SYSTEM_DELIVERY_LEVELS.md; CONSULTANT_TEMPLATES/01_DISCOVERY/CLIENT_INTERVIEW_NOTES_TEMPLATE.md; CONSULTANT_TEMPLATES/03_DEVELOPMENT/ENVIRONMENT_AND_SECRETS_TEMPLATE.md; CONSULTANT_TEMPLATES/03_DEVELOPMENT/OPERATIONS_AND_RECOVERY_TEMPLATE.md; CONSULTANT_TEMPLATES/04_TRACKS/MVP_TEMPLATE.md; CONSULTANT_TEMPLATES/05_AUTO_BUILDER_INPUTS/CANON_TEMPLATES/BUILD_BACKLOG_TEMPLATE.md; CONSULTANT_TEMPLATES/03_DEVELOPMENT/FRONTEND_PRODUCT_REQUIREMENTS_TEMPLATE.md; CONSULTANT_TEMPLATES/02_PRE_DEVELOPMENT/SUCCESS_METRICS_AND_ACCEPTANCE_TEMPLATE.md; CONSULTANT_TEMPLATES/06_BENCHMARKS/BENCHMARK_STANDARD_STACK.md</x:v>
      </x:c>
      <x:c r="F4" s="22" t="str">
        <x:v>Includes 0 workbook(s); used as source for templates, gates, schemas, docs, queues, and protocols.</x:v>
      </x:c>
    </x:row>
    <x:row r="5">
      <x:c r="A5" s="22" t="str">
        <x:v>SWF_Social_SEO_Benchmark_Bundle.zip</x:v>
      </x:c>
      <x:c r="B5" s="22" t="str">
        <x:v>Social SEO benchmark bundle</x:v>
      </x:c>
      <x:c r="C5" s="22" t="str">
        <x:v>ZIP package</x:v>
      </x:c>
      <x:c r="D5" s="22" t="n">
        <x:v>13</x:v>
      </x:c>
      <x:c r="E5" s="22" t="str">
        <x:v>README.md; apps_script/SocialSEOCommandQueue.gs; apps_script/SocialSEOExporter.gs; apps_script/SocialSEOQAFirewall.gs; apps_script/SocialSEOReleaseFirewall.gs; apps_script/SocialSEOLogger.gs; schemas/social_seo_campaign.schema.json; schemas/social_post_draft.schema.json; schemas/seo_content_brief.schema.json; exports/social_seo_github_issues.csv</x:v>
      </x:c>
      <x:c r="F5" s="22" t="str">
        <x:v>Includes 0 workbook(s); used as source for templates, gates, schemas, docs, queues, and protocols.</x:v>
      </x:c>
    </x:row>
    <x:row r="6">
      <x:c r="A6" s="22" t="str">
        <x:v>SWF_Sandbox_Execution_Bundle.zip</x:v>
      </x:c>
      <x:c r="B6" s="22" t="str">
        <x:v>Sandbox execution bundle</x:v>
      </x:c>
      <x:c r="C6" s="22" t="str">
        <x:v>ZIP package</x:v>
      </x:c>
      <x:c r="D6" s="22" t="n">
        <x:v>33</x:v>
      </x:c>
      <x:c r="E6" s="22" t="str">
        <x:v>playwright.config.ts; apps_script/Config.gs; apps_script/Menu.gs; apps_script/Logger.gs; apps_script/DriveBuilder.gs; apps_script/GitHubExporter.gs; apps_script/TaskTemplateBuilder.gs; apps_script/CalendarBuilder.gs; apps_script/StatusSync.gs; apps_script/QAValidator.gs</x:v>
      </x:c>
      <x:c r="F6" s="22" t="str">
        <x:v>Includes 1 workbook(s); used as source for templates, gates, schemas, docs, queues, and protocols.</x:v>
      </x:c>
    </x:row>
    <x:row r="7">
      <x:c r="A7" s="22" t="str">
        <x:v>Universal_Refactor_Intelligence_Module_Workbook (2).xlsx</x:v>
      </x:c>
      <x:c r="B7" s="22" t="str">
        <x:v>Universal refactor intelligence 2</x:v>
      </x:c>
      <x:c r="C7" s="22" t="str">
        <x:v>Workbook</x:v>
      </x:c>
      <x:c r="D7" s="22" t="n">
        <x:v>23</x:v>
      </x:c>
      <x:c r="E7" s="22" t="str">
        <x:v>00_Command_Center; 01_Client_Refactor_Intake; 02_Ingestion_Router; 03_Source_Inventory; 04_Benchmark_Integration; 05_Framework_Library; 06_Diagnostic_Question_Bank; 07_Method_Selector; 08_Universal_System_Map; 09_Refactor_Scoring; 10_Good_Better_Best; 11_Simulation_Model; 12_Cost_Tier_Model; 13_Frontend_Backend_Memory; 14_AI_Autonomy_Protocol; 15_Recursive_Workflow; 16_Output_Package_Map; 17_Prompt_Pack; 18_Master_Invocation_Prompt; 19_Discovery_Form_Addon</x:v>
      </x:c>
      <x:c r="F7" s="22" t="str">
        <x:v>Used as source for workbook taxonomy, operating tabs, questions, maps, scoring and handoff patterns.</x:v>
      </x:c>
    </x:row>
    <x:row r="8">
      <x:c r="A8" s="22" t="str">
        <x:v>SMA System Capability Library - TOC and Tag Matrix.xlsx</x:v>
      </x:c>
      <x:c r="B8" s="22" t="str">
        <x:v>Capability library</x:v>
      </x:c>
      <x:c r="C8" s="22" t="str">
        <x:v>Workbook</x:v>
      </x:c>
      <x:c r="D8" s="22" t="n">
        <x:v>5</x:v>
      </x:c>
      <x:c r="E8" s="22" t="str">
        <x:v>00_TOC_Clickable_Index; 01_Master_Stack_List; 02_Capability_Tag_System; 03_Auto_Recommendation_Rules; 04_Limitations_Workarounds</x:v>
      </x:c>
      <x:c r="F8" s="22" t="str">
        <x:v>Used as source for workbook taxonomy, operating tabs, questions, maps, scoring and handoff patterns.</x:v>
      </x:c>
    </x:row>
    <x:row r="9">
      <x:c r="A9" s="22" t="str">
        <x:v>SMA One-and-Done AutoBuild Template System.xlsx</x:v>
      </x:c>
      <x:c r="B9" s="22" t="str">
        <x:v>One-and-done AutoBuild</x:v>
      </x:c>
      <x:c r="C9" s="22" t="str">
        <x:v>Workbook</x:v>
      </x:c>
      <x:c r="D9" s="22" t="n">
        <x:v>27</x:v>
      </x:c>
      <x:c r="E9" s="22" t="str">
        <x:v>00_START_HERE; 01_Mandatory_System_Checklist; 02_Fill_In_Variables; 03_GPT_Task_Scheduler_Setup; 04_Exact_Task_Prompt_Library; 05_Workflow_Stage_Map; 06_Log_File_System; 07_Memory_File_System; 08_Market_Discovery_Scrape_Map; 09_AppScript_Module_Checklist; 10_Shopify_Template_Package; 11_Env_Credentials_Placeholders; 12_Required_System_Docs; 13_Final_Handoff_Readiness; 14_Blockers_Workarounds; 15_System_Content_Audit; 16_Top_20_Upgrades; 17_GPT_Bridge_Command_Center; 18_AppScript_v2_Module_Map; 19_Trigger_Automation_Map</x:v>
      </x:c>
      <x:c r="F9" s="22" t="str">
        <x:v>Used as source for workbook taxonomy, operating tabs, questions, maps, scoring and handoff patterns.</x:v>
      </x:c>
    </x:row>
    <x:row r="10">
      <x:c r="A10" s="22" t="str">
        <x:v>SMA_Max_Ceiling_AI_Social_Growth_Engine_Workbook (1).xlsx</x:v>
      </x:c>
      <x:c r="B10" s="22" t="str">
        <x:v>Max ceiling social growth</x:v>
      </x:c>
      <x:c r="C10" s="22" t="str">
        <x:v>Workbook</x:v>
      </x:c>
      <x:c r="D10" s="22" t="n">
        <x:v>0</x:v>
      </x:c>
      <x:c r="E10" s="22" t="str"/>
      <x:c r="F10" s="22" t="str">
        <x:v>Used as source for workbook taxonomy, operating tabs, questions, maps, scoring and handoff patterns.</x:v>
      </x:c>
    </x:row>
    <x:row r="11">
      <x:c r="A11" s="22" t="str">
        <x:v>Strategic_Minds_Frontend_UIUX_Production_Builder_Workbook (1).xlsx</x:v>
      </x:c>
      <x:c r="B11" s="22" t="str">
        <x:v>Frontend UIUX production builder</x:v>
      </x:c>
      <x:c r="C11" s="22" t="str">
        <x:v>Workbook</x:v>
      </x:c>
      <x:c r="D11" s="22" t="n">
        <x:v>21</x:v>
      </x:c>
      <x:c r="E11" s="22" t="str">
        <x:v>00_Command_Center; 01_Operator_Intake; 02_Mode_Router; 03_Mandatory_Research; 04_UIUX_Terminology; 05_Pixel_Match_Protocol; 06_Designer_Mode; 07_URL_Inhalation; 08_Visual_Extraction; 09_Component_Spec; 10_Backend_Integration; 11_Data_Schema; 12_Scraper_System; 13_Prompt_Pack; 14_Build_Output; 15_QA_Checklist; 16_Stack_Integration; 17_Compliance_Firewall; 18_Architecture_Lock; 19_README</x:v>
      </x:c>
      <x:c r="F11" s="22" t="str">
        <x:v>Used as source for workbook taxonomy, operating tabs, questions, maps, scoring and handoff patterns.</x:v>
      </x:c>
    </x:row>
    <x:row r="12">
      <x:c r="A12" s="22" t="str">
        <x:v>Universal_Refactor_Intelligence_Module_Workbook (1).xlsx</x:v>
      </x:c>
      <x:c r="B12" s="22" t="str">
        <x:v>Universal refactor intelligence 1</x:v>
      </x:c>
      <x:c r="C12" s="22" t="str">
        <x:v>Workbook</x:v>
      </x:c>
      <x:c r="D12" s="22" t="n">
        <x:v>23</x:v>
      </x:c>
      <x:c r="E12" s="22" t="str">
        <x:v>00_Command_Center; 01_Client_Refactor_Intake; 02_Ingestion_Router; 03_Source_Inventory; 04_Benchmark_Integration; 05_Framework_Library; 06_Diagnostic_Question_Bank; 07_Method_Selector; 08_Universal_System_Map; 09_Refactor_Scoring; 10_Good_Better_Best; 11_Simulation_Model; 12_Cost_Tier_Model; 13_Frontend_Backend_Memory; 14_AI_Autonomy_Protocol; 15_Recursive_Workflow; 16_Output_Package_Map; 17_Prompt_Pack; 18_Master_Invocation_Prompt; 19_Discovery_Form_Addon</x:v>
      </x:c>
      <x:c r="F12" s="22" t="str">
        <x:v>Used as source for workbook taxonomy, operating tabs, questions, maps, scoring and handoff patterns.</x:v>
      </x:c>
    </x:row>
    <x:row r="13">
      <x:c r="A13" s="22" t="str">
        <x:v>ecl_future_work_business_testing_package.zip</x:v>
      </x:c>
      <x:c r="B13" s="22" t="str">
        <x:v>ECL future work testing</x:v>
      </x:c>
      <x:c r="C13" s="22" t="str">
        <x:v>ZIP package</x:v>
      </x:c>
      <x:c r="D13" s="22" t="n">
        <x:v>12</x:v>
      </x:c>
      <x:c r="E13" s="22" t="str">
        <x:v>ECL_Future_Work_Business_Startup_Testing_Package.xlsx; Slogans_Test_Bank.csv; Psych_Words.csv; Top100_Jobs_At_Risk.csv; Top100_Jobs_Created.csv; Top100_Business_Startups.csv; Top100_Cheapest_Startups.csv; Ad_Test_Matrix.csv; Sources.csv; Guardrails.csv</x:v>
      </x:c>
      <x:c r="F13" s="22" t="str">
        <x:v>Includes 1 workbook(s); used as source for templates, gates, schemas, docs, queues, and protocols.</x:v>
      </x:c>
    </x:row>
    <x:row r="14">
      <x:c r="A14" s="22" t="str">
        <x:v>AUTO_BUILDER_SINGULARITY_WORKBOOK_PACKAGE.zip</x:v>
      </x:c>
      <x:c r="B14" s="22" t="str">
        <x:v>Singularity workbook package</x:v>
      </x:c>
      <x:c r="C14" s="22" t="str">
        <x:v>ZIP package</x:v>
      </x:c>
      <x:c r="D14" s="22" t="n">
        <x:v>5</x:v>
      </x:c>
      <x:c r="E14" s="22" t="str">
        <x:v>AUTO_BUILDER_SINGULARITY_WORKBOOK_PACKAGE/AUTO_BUILDER_SINGULARITY_WORKBOOK.xlsx; AUTO_BUILDER_SINGULARITY_WORKBOOK_PACKAGE/AUTO_BUILDER_SINGULARITY_WORKBOOK_README.md; AUTO_BUILDER_SINGULARITY_WORKBOOK_PACKAGE/AUTO_BUILDER_SINGULARITY_OPERATING_PROTOCOLS.md; AUTO_BUILDER_SINGULARITY_WORKBOOK_PACKAGE/AUTO_BUILDER_SINGULARITY_SUPABASE_SCHEMA.sql; AUTO_BUILDER_SINGULARITY_WORKBOOK_PACKAGE/AUTO_BUILDER_SINGULARITY_QUEUE_TOPOLOGY.csv</x:v>
      </x:c>
      <x:c r="F14" s="22" t="str">
        <x:v>Includes 1 workbook(s); used as source for templates, gates, schemas, docs, queues, and protocols.</x:v>
      </x:c>
    </x:row>
    <x:row r="15">
      <x:c r="A15" s="22" t="str">
        <x:v>AUTO_BUILDER_RECURSIVE_OPERATIONAL_INTELLIGENCE_SYSTEM.zip</x:v>
      </x:c>
      <x:c r="B15" s="22" t="str">
        <x:v>Recursive operational intelligence</x:v>
      </x:c>
      <x:c r="C15" s="22" t="str">
        <x:v>ZIP package</x:v>
      </x:c>
      <x:c r="D15" s="22" t="n">
        <x:v>14</x:v>
      </x:c>
      <x:c r="E15" s="22" t="str">
        <x:v>AUTO_BUILDER_RECURSIVE_OPERATIONAL_INTELLIGENCE_SYSTEM/Agent_Evolution_Framework.md; AUTO_BUILDER_RECURSIVE_OPERATIONAL_INTELLIGENCE_SYSTEM/Autonomous_Operational_Intelligence.md; AUTO_BUILDER_RECURSIVE_OPERATIONAL_INTELLIGENCE_SYSTEM/Autonomous_Wealth_Infrastructure.docx; AUTO_BUILDER_RECURSIVE_OPERATIONAL_INTELLIGENCE_SYSTEM/Controlled_Evolution_Framework.md; AUTO_BUILDER_RECURSIVE_OPERATIONAL_INTELLIGENCE_SYSTEM/Economic_Optimization_System.md; AUTO_BUILDER_RECURSIVE_OPERATIONAL_INTELLIGENCE_SYSTEM/Memory_Compounding_Architecture.md; AUTO_BUILDER_RECURSIVE_OPERATIONAL_INTELLIGENCE_SYSTEM/Opportunity_Intelligence_Graph.md; AUTO_BUILDER_RECURSIVE_OPERATIONAL_INTELLIGENCE_SYSTEM/Recursive_Deployment_DAGs.md; AUTO_BUILDER_RECURSIVE_OPERATIONAL_INTELLIGENCE_SYSTEM/Recursive_Intelligence_Architecture.docx; AUTO_BUILDER_RECURSIVE_OPERATIONAL_INTELLIGENCE_SYSTEM/Recursive_Operational_Intelligence_Workbook.xlsx</x:v>
      </x:c>
      <x:c r="F15" s="22" t="str">
        <x:v>Includes 1 workbook(s); used as source for templates, gates, schemas, docs, queues, and protocols.</x:v>
      </x:c>
    </x:row>
    <x:row r="16">
      <x:c r="A16" s="22" t="str">
        <x:v>AUTO_BUILDER_CONSTITUTIONAL_AUTONOMY_SYSTEM.zip</x:v>
      </x:c>
      <x:c r="B16" s="22" t="str">
        <x:v>Constitutional autonomy system</x:v>
      </x:c>
      <x:c r="C16" s="22" t="str">
        <x:v>ZIP package</x:v>
      </x:c>
      <x:c r="D16" s="22" t="n">
        <x:v>13</x:v>
      </x:c>
      <x:c r="E16" s="22" t="str">
        <x:v>AUTO_BUILDER_CONSTITUTIONAL_AUTONOMY_SYSTEM/Bounded_Autonomy_Protocols.md; AUTO_BUILDER_CONSTITUTIONAL_AUTONOMY_SYSTEM/Constitutional_Autonomy_Workbook.xlsx; AUTO_BUILDER_CONSTITUTIONAL_AUTONOMY_SYSTEM/Constitutional_Governance_Manual.docx; AUTO_BUILDER_CONSTITUTIONAL_AUTONOMY_SYSTEM/Constitutional_Operating_Protocols.md; AUTO_BUILDER_CONSTITUTIONAL_AUTONOMY_SYSTEM/Constitutional_Supabase_Schema.sql; AUTO_BUILDER_CONSTITUTIONAL_AUTONOMY_SYSTEM/Emergency_Recovery_Protocols.md; AUTO_BUILDER_CONSTITUTIONAL_AUTONOMY_SYSTEM/Governance_Control_Plane.md; AUTO_BUILDER_CONSTITUTIONAL_AUTONOMY_SYSTEM/Human_Authority_Framework.docx; AUTO_BUILDER_CONSTITUTIONAL_AUTONOMY_SYSTEM/Operational_Memory_Graph.md; AUTO_BUILDER_CONSTITUTIONAL_AUTONOMY_SYSTEM/Queue_Governance_Topology.csv</x:v>
      </x:c>
      <x:c r="F16" s="22" t="str">
        <x:v>Includes 1 workbook(s); used as source for templates, gates, schemas, docs, queues, and protocols.</x:v>
      </x:c>
    </x:row>
  </x:sheetData>
  <x:pageMargins left="0.7" right="0.7" top="0.75" bottom="0.75" header="0.3" footer="0.3"/>
  <x:tableParts count="1">
    <x:tablePart xmlns:r="http://schemas.openxmlformats.org/officeDocument/2006/relationships" r:id="Rd73f843aec2e4d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  <x:col min="3" max="3" width="14" hidden="0" customWidth="1"/>
    <x:col min="4" max="4" width="20" hidden="0" customWidth="1"/>
    <x:col min="5" max="5" width="58" hidden="0" customWidth="1"/>
  </x:cols>
  <x:sheetData>
    <x:row r="1">
      <x:c r="A1" s="6" t="str">
        <x:v>PRODUCTION INTAKE QUESTIONS</x:v>
      </x:c>
      <x:c r="B1" s="6" t="str"/>
      <x:c r="C1" s="6" t="str"/>
      <x:c r="D1" s="6" t="str"/>
      <x:c r="E1" s="6" t="str"/>
    </x:row>
    <x:row r="2">
      <x:c r="A2" t="str">
        <x:v>Exact questions Auto Builder must ask before production.</x:v>
      </x:c>
      <x:c r="B2" t="str"/>
      <x:c r="C2" t="str"/>
      <x:c r="D2" t="str"/>
      <x:c r="E2" t="str"/>
    </x:row>
    <x:row r="3">
      <x:c r="A3" s="16" t="str">
        <x:v>Category</x:v>
      </x:c>
      <x:c r="B3" s="16" t="str">
        <x:v>Question</x:v>
      </x:c>
      <x:c r="C3" s="16" t="str">
        <x:v>Required</x:v>
      </x:c>
      <x:c r="D3" s="16" t="str">
        <x:v>Source</x:v>
      </x:c>
      <x:c r="E3" s="16" t="str">
        <x:v>Why It Matters</x:v>
      </x:c>
    </x:row>
    <x:row r="4">
      <x:c r="A4" s="22" t="str">
        <x:v>Business Identity</x:v>
      </x:c>
      <x:c r="B4" s="22" t="str">
        <x:v>What business, brand, product, offer, or workflow is being built?</x:v>
      </x:c>
      <x:c r="C4" s="22" t="str">
        <x:v>Required</x:v>
      </x:c>
      <x:c r="D4" s="22" t="str">
        <x:v>User</x:v>
      </x:c>
      <x:c r="E4" s="22" t="str">
        <x:v>Defines project object and naming.</x:v>
      </x:c>
    </x:row>
    <x:row r="5">
      <x:c r="A5" s="22" t="str">
        <x:v>Primary Outcome</x:v>
      </x:c>
      <x:c r="B5" s="22" t="str">
        <x:v>What must the final system accomplish in one sentence?</x:v>
      </x:c>
      <x:c r="C5" s="22" t="str">
        <x:v>Required</x:v>
      </x:c>
      <x:c r="D5" s="22" t="str">
        <x:v>User</x:v>
      </x:c>
      <x:c r="E5" s="22" t="str">
        <x:v>Locks success target.</x:v>
      </x:c>
    </x:row>
    <x:row r="6">
      <x:c r="A6" s="22" t="str">
        <x:v>System Type</x:v>
      </x:c>
      <x:c r="B6" s="22" t="str">
        <x:v>Is this an agent, workflow, internal OS, commerce system, content engine, lead-gen system, SaaS/app, or hybrid?</x:v>
      </x:c>
      <x:c r="C6" s="22" t="str">
        <x:v>Required</x:v>
      </x:c>
      <x:c r="D6" s="22" t="str">
        <x:v>User</x:v>
      </x:c>
      <x:c r="E6" s="22" t="str">
        <x:v>Routes workbook path.</x:v>
      </x:c>
    </x:row>
    <x:row r="7">
      <x:c r="A7" s="22" t="str">
        <x:v>Target Customer</x:v>
      </x:c>
      <x:c r="B7" s="22" t="str">
        <x:v>Who is the buyer/user and what urgent problem do they have?</x:v>
      </x:c>
      <x:c r="C7" s="22" t="str">
        <x:v>Required</x:v>
      </x:c>
      <x:c r="D7" s="22" t="str">
        <x:v>User</x:v>
      </x:c>
      <x:c r="E7" s="22" t="str">
        <x:v>Sets market logic and UX.</x:v>
      </x:c>
    </x:row>
    <x:row r="8">
      <x:c r="A8" s="22" t="str">
        <x:v>Top 3 Benchmark Candidates</x:v>
      </x:c>
      <x:c r="B8" s="22" t="str">
        <x:v>List any known competitors/systems to study; if unknown, Auto Builder must identify them through browser research.</x:v>
      </x:c>
      <x:c r="C8" s="22" t="str">
        <x:v>Optional</x:v>
      </x:c>
      <x:c r="D8" s="22" t="str">
        <x:v>User/Browser</x:v>
      </x:c>
      <x:c r="E8" s="22" t="str">
        <x:v>Benchmark seed list.</x:v>
      </x:c>
    </x:row>
    <x:row r="9">
      <x:c r="A9" s="22" t="str">
        <x:v>Geography/Market</x:v>
      </x:c>
      <x:c r="B9" s="22" t="str">
        <x:v>What market, geography, language, and compliance context apply?</x:v>
      </x:c>
      <x:c r="C9" s="22" t="str">
        <x:v>Required</x:v>
      </x:c>
      <x:c r="D9" s="22" t="str">
        <x:v>User</x:v>
      </x:c>
      <x:c r="E9" s="22" t="str">
        <x:v>Affects legal, ads, lead generation.</x:v>
      </x:c>
    </x:row>
    <x:row r="10">
      <x:c r="A10" s="22" t="str">
        <x:v>Budget / Investment</x:v>
      </x:c>
      <x:c r="B10" s="22" t="str">
        <x:v>What initial investment is available for tools, ads, data, design, development, or operations?</x:v>
      </x:c>
      <x:c r="C10" s="22" t="str">
        <x:v>Required</x:v>
      </x:c>
      <x:c r="D10" s="22" t="str">
        <x:v>User</x:v>
      </x:c>
      <x:c r="E10" s="22" t="str">
        <x:v>Constrains roadmap.</x:v>
      </x:c>
    </x:row>
    <x:row r="11">
      <x:c r="A11" s="22" t="str">
        <x:v>Revenue Goal</x:v>
      </x:c>
      <x:c r="B11" s="22" t="str">
        <x:v>What is the desired 1-day, 1-week, 1-month, 6-month, 1-year, and 3-year revenue goal?</x:v>
      </x:c>
      <x:c r="C11" s="22" t="str">
        <x:v>Required</x:v>
      </x:c>
      <x:c r="D11" s="22" t="str">
        <x:v>User</x:v>
      </x:c>
      <x:c r="E11" s="22" t="str">
        <x:v>Feeds goal model.</x:v>
      </x:c>
    </x:row>
    <x:row r="12">
      <x:c r="A12" s="22" t="str">
        <x:v>Current Assets</x:v>
      </x:c>
      <x:c r="B12" s="22" t="str">
        <x:v>What URLs, Drive folders, Shopify stores, GitHub repos, social accounts, content, brand assets, data, workflows, docs, and offers exist?</x:v>
      </x:c>
      <x:c r="C12" s="22" t="str">
        <x:v>Required</x:v>
      </x:c>
      <x:c r="D12" s="22" t="str">
        <x:v>User/Connectors</x:v>
      </x:c>
      <x:c r="E12" s="22" t="str">
        <x:v>Defines source truth.</x:v>
      </x:c>
    </x:row>
    <x:row r="13">
      <x:c r="A13" s="22" t="str">
        <x:v>Required Stack</x:v>
      </x:c>
      <x:c r="B13" s="22" t="str">
        <x:v>Confirm tools: GitHub, Vercel, Supabase, Shopify, OpenAI, Xyla, Opus, Google Drive, Gmail, Calendar, Slack, etc.</x:v>
      </x:c>
      <x:c r="C13" s="22" t="str">
        <x:v>Required</x:v>
      </x:c>
      <x:c r="D13" s="22" t="str">
        <x:v>User</x:v>
      </x:c>
      <x:c r="E13" s="22" t="str">
        <x:v>Connector map.</x:v>
      </x:c>
    </x:row>
    <x:row r="14">
      <x:c r="A14" s="22" t="str">
        <x:v>Autonomy Level</x:v>
      </x:c>
      <x:c r="B14" s="22" t="str">
        <x:v>What can run automatically vs requires approval?</x:v>
      </x:c>
      <x:c r="C14" s="22" t="str">
        <x:v>Required</x:v>
      </x:c>
      <x:c r="D14" s="22" t="str">
        <x:v>User</x:v>
      </x:c>
      <x:c r="E14" s="22" t="str">
        <x:v>Governance.</x:v>
      </x:c>
    </x:row>
    <x:row r="15">
      <x:c r="A15" s="22" t="str">
        <x:v>Legal Constraints</x:v>
      </x:c>
      <x:c r="B15" s="22" t="str">
        <x:v>Any regulated claims, licenses, trademarks, warranties, data privacy, medical/financial/legal restrictions, platform ToS constraints?</x:v>
      </x:c>
      <x:c r="C15" s="22" t="str">
        <x:v>Required</x:v>
      </x:c>
      <x:c r="D15" s="22" t="str">
        <x:v>User/Legal</x:v>
      </x:c>
      <x:c r="E15" s="22" t="str">
        <x:v>Risk control.</x:v>
      </x:c>
    </x:row>
    <x:row r="16">
      <x:c r="A16" s="22" t="str">
        <x:v>Brand Direction</x:v>
      </x:c>
      <x:c r="B16" s="22" t="str">
        <x:v>What 3 visual examples should production match or avoid? Provide URLs/images/notes.</x:v>
      </x:c>
      <x:c r="C16" s="22" t="str">
        <x:v>Required</x:v>
      </x:c>
      <x:c r="D16" s="22" t="str">
        <x:v>User/Browser</x:v>
      </x:c>
      <x:c r="E16" s="22" t="str">
        <x:v>Brand pack.</x:v>
      </x:c>
    </x:row>
    <x:row r="17">
      <x:c r="A17" s="22" t="str">
        <x:v>Lead Channels</x:v>
      </x:c>
      <x:c r="B17" s="22" t="str">
        <x:v>Which channels matter: Google, SEO, TikTok, Instagram, Facebook, LinkedIn, YouTube, X, email, SMS, affiliates, partners, outbound?</x:v>
      </x:c>
      <x:c r="C17" s="22" t="str">
        <x:v>Required</x:v>
      </x:c>
      <x:c r="D17" s="22" t="str">
        <x:v>User</x:v>
      </x:c>
      <x:c r="E17" s="22" t="str">
        <x:v>Social/lead-gen OS.</x:v>
      </x:c>
    </x:row>
    <x:row r="18">
      <x:c r="A18" s="22" t="str">
        <x:v>Human Reviewers</x:v>
      </x:c>
      <x:c r="B18" s="22" t="str">
        <x:v>Who approves offers, ads, publishing, deployment, spending, and data access?</x:v>
      </x:c>
      <x:c r="C18" s="22" t="str">
        <x:v>Required</x:v>
      </x:c>
      <x:c r="D18" s="22" t="str">
        <x:v>User</x:v>
      </x:c>
      <x:c r="E18" s="22" t="str">
        <x:v>Approval gates.</x:v>
      </x:c>
    </x:row>
    <x:row r="19">
      <x:c r="A19" s="22" t="str">
        <x:v>Credentials</x:v>
      </x:c>
      <x:c r="B19" s="22" t="str">
        <x:v>What credentials/env vars/API keys will be needed and who controls them?</x:v>
      </x:c>
      <x:c r="C19" s="22" t="str">
        <x:v>Required</x:v>
      </x:c>
      <x:c r="D19" s="22" t="str">
        <x:v>User</x:v>
      </x:c>
      <x:c r="E19" s="22" t="str">
        <x:v>Deployment readiness.</x:v>
      </x:c>
    </x:row>
    <x:row r="20">
      <x:c r="A20" s="22" t="str">
        <x:v>Rollback Preference</x:v>
      </x:c>
      <x:c r="B20" s="22" t="str">
        <x:v>What production changes must be reversible and how fast?</x:v>
      </x:c>
      <x:c r="C20" s="22" t="str">
        <x:v>Required</x:v>
      </x:c>
      <x:c r="D20" s="22" t="str">
        <x:v>User</x:v>
      </x:c>
      <x:c r="E20" s="22" t="str">
        <x:v>Reliability.</x:v>
      </x:c>
    </x:row>
    <x:row r="21">
      <x:c r="A21" s="22" t="str">
        <x:v>No-Go Rules</x:v>
      </x:c>
      <x:c r="B21" s="22" t="str">
        <x:v>What must Auto Builder never do?</x:v>
      </x:c>
      <x:c r="C21" s="22" t="str">
        <x:v>Required</x:v>
      </x:c>
      <x:c r="D21" s="22" t="str">
        <x:v>User</x:v>
      </x:c>
      <x:c r="E21" s="22" t="str">
        <x:v>Safety and brand protection.</x:v>
      </x:c>
    </x:row>
  </x:sheetData>
  <x:pageMargins left="0.7" right="0.7" top="0.75" bottom="0.75" header="0.3" footer="0.3"/>
  <x:tableParts count="1">
    <x:tablePart xmlns:r="http://schemas.openxmlformats.org/officeDocument/2006/relationships" r:id="R81b0fb0b7bfd46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70" hidden="0" customWidth="1"/>
    <x:col min="4" max="4" width="42" hidden="0" customWidth="1"/>
    <x:col min="5" max="5" width="45" hidden="0" customWidth="1"/>
  </x:cols>
  <x:sheetData>
    <x:row r="1">
      <x:c r="A1" s="6" t="str">
        <x:v>BROWSER RESEARCH PROTOCOL</x:v>
      </x:c>
      <x:c r="B1" s="6" t="str"/>
      <x:c r="C1" s="6" t="str"/>
      <x:c r="D1" s="6" t="str"/>
      <x:c r="E1" s="6" t="str"/>
    </x:row>
    <x:row r="2">
      <x:c r="A2" t="str">
        <x:v>Public web research process for identifying and analyzing the top 3 comparable systems.</x:v>
      </x:c>
      <x:c r="B2" t="str"/>
      <x:c r="C2" t="str"/>
      <x:c r="D2" t="str"/>
      <x:c r="E2" t="str"/>
    </x:row>
    <x:row r="3">
      <x:c r="A3" s="16" t="str">
        <x:v>Step</x:v>
      </x:c>
      <x:c r="B3" s="16" t="str">
        <x:v>Stage</x:v>
      </x:c>
      <x:c r="C3" s="16" t="str">
        <x:v>Action</x:v>
      </x:c>
      <x:c r="D3" s="16" t="str">
        <x:v>Output</x:v>
      </x:c>
      <x:c r="E3" s="16" t="str">
        <x:v>Gate</x:v>
      </x:c>
    </x:row>
    <x:row r="4">
      <x:c r="A4" s="22" t="str">
        <x:v>1</x:v>
      </x:c>
      <x:c r="B4" s="22" t="str">
        <x:v>Define category</x:v>
      </x:c>
      <x:c r="C4" s="22" t="str">
        <x:v>Convert user goal into searchable system category, buyer job, and feature set.</x:v>
      </x:c>
      <x:c r="D4" s="22" t="str">
        <x:v>Search queries, seed URLs, category terms</x:v>
      </x:c>
      <x:c r="E4" s="22" t="str">
        <x:v>Requires source citation.</x:v>
      </x:c>
    </x:row>
    <x:row r="5">
      <x:c r="A5" s="22" t="str">
        <x:v>2</x:v>
      </x:c>
      <x:c r="B5" s="22" t="str">
        <x:v>Identify top candidates</x:v>
      </x:c>
      <x:c r="C5" s="22" t="str">
        <x:v>Find top-rated/top-used/top-reviewed 3 comparable public systems from credible sources.</x:v>
      </x:c>
      <x:c r="D5" s="22" t="str">
        <x:v>Candidate table with rating/reviews/proof</x:v>
      </x:c>
      <x:c r="E5" s="22" t="str">
        <x:v>Use public sources only.</x:v>
      </x:c>
    </x:row>
    <x:row r="6">
      <x:c r="A6" s="22" t="str">
        <x:v>3</x:v>
      </x:c>
      <x:c r="B6" s="22" t="str">
        <x:v>Validate reputation</x:v>
      </x:c>
      <x:c r="C6" s="22" t="str">
        <x:v>Check ratings, reviews, case studies, pricing, support, complaints, UX, speed, content, and market positioning.</x:v>
      </x:c>
      <x:c r="D6" s="22" t="str">
        <x:v>Reputation evidence</x:v>
      </x:c>
      <x:c r="E6" s="22" t="str">
        <x:v>Do not over-rely on affiliate lists.</x:v>
      </x:c>
    </x:row>
    <x:row r="7">
      <x:c r="A7" s="22" t="str">
        <x:v>4</x:v>
      </x:c>
      <x:c r="B7" s="22" t="str">
        <x:v>Capture source truth</x:v>
      </x:c>
      <x:c r="C7" s="22" t="str">
        <x:v>Log URLs, dates accessed, screenshots/notes, pricing pages, docs, public onboarding flows.</x:v>
      </x:c>
      <x:c r="D7" s="22" t="str">
        <x:v>Source truth log</x:v>
      </x:c>
      <x:c r="E7" s="22" t="str">
        <x:v>No scraping if blocked by ToS.</x:v>
      </x:c>
    </x:row>
    <x:row r="8">
      <x:c r="A8" s="22" t="str">
        <x:v>5</x:v>
      </x:c>
      <x:c r="B8" s="22" t="str">
        <x:v>Extract public architecture</x:v>
      </x:c>
      <x:c r="C8" s="22" t="str">
        <x:v>Infer inputs, outputs, user flows, integrations, monetization, data objects, automations, support model.</x:v>
      </x:c>
      <x:c r="D8" s="22" t="str">
        <x:v>Architecture notes</x:v>
      </x:c>
      <x:c r="E8" s="22" t="str">
        <x:v>Mark inferred items explicitly.</x:v>
      </x:c>
    </x:row>
    <x:row r="9">
      <x:c r="A9" s="22" t="str">
        <x:v>6</x:v>
      </x:c>
      <x:c r="B9" s="22" t="str">
        <x:v>Legal/IP filter</x:v>
      </x:c>
      <x:c r="C9" s="22" t="str">
        <x:v>Classify elements: safe benchmark, transform, do not copy, legal review, could not verify.</x:v>
      </x:c>
      <x:c r="D9" s="22" t="str">
        <x:v>Legal safety matrix</x:v>
      </x:c>
      <x:c r="E9" s="22" t="str">
        <x:v>Clean-room design required.</x:v>
      </x:c>
    </x:row>
    <x:row r="10">
      <x:c r="A10" s="22" t="str">
        <x:v>7</x:v>
      </x:c>
      <x:c r="B10" s="22" t="str">
        <x:v>Score systems</x:v>
      </x:c>
      <x:c r="C10" s="22" t="str">
        <x:v>Score feature coverage, UX, monetization, automation, integration, support, trust, speed, cost, differentiation.</x:v>
      </x:c>
      <x:c r="D10" s="22" t="str">
        <x:v>Benchmark scorecard</x:v>
      </x:c>
      <x:c r="E10" s="22" t="str">
        <x:v>Use formulas.</x:v>
      </x:c>
    </x:row>
    <x:row r="11">
      <x:c r="A11" s="22" t="str">
        <x:v>8</x:v>
      </x:c>
      <x:c r="B11" s="22" t="str">
        <x:v>Synthesize build</x:v>
      </x:c>
      <x:c r="C11" s="22" t="str">
        <x:v>Combine legal-safe strengths and fixes into an original improved design.</x:v>
      </x:c>
      <x:c r="D11" s="22" t="str">
        <x:v>Build blueprint</x:v>
      </x:c>
      <x:c r="E11" s="22" t="str">
        <x:v>Minimum 10% enhancement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e2914303d5ca4d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35" hidden="0" customWidth="1"/>
    <x:col min="5" max="5" width="14" hidden="0" customWidth="1"/>
    <x:col min="6" max="6" width="35" hidden="0" customWidth="1"/>
    <x:col min="7" max="7" width="14" hidden="0" customWidth="1"/>
    <x:col min="8" max="8" width="35" hidden="0" customWidth="1"/>
    <x:col min="9" max="9" width="45" hidden="0" customWidth="1"/>
    <x:col min="10" max="10" width="35" hidden="0" customWidth="1"/>
  </x:cols>
  <x:sheetData>
    <x:row r="1">
      <x:c r="A1" s="6" t="str">
        <x:v>TOP 3 BENCHMARK SCORECARD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2">
      <x:c r="A2" t="str">
        <x:v>Score the highest-rated comparable systems, then combine strengths into one legal-safe superior design.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16" t="str">
        <x:v>Metric</x:v>
      </x:c>
      <x:c r="B3" s="16" t="str">
        <x:v>Weight</x:v>
      </x:c>
      <x:c r="C3" s="16" t="str">
        <x:v>System 1 Score</x:v>
      </x:c>
      <x:c r="D3" s="16" t="str">
        <x:v>System 1 Notes</x:v>
      </x:c>
      <x:c r="E3" s="16" t="str">
        <x:v>System 2 Score</x:v>
      </x:c>
      <x:c r="F3" s="16" t="str">
        <x:v>System 2 Notes</x:v>
      </x:c>
      <x:c r="G3" s="16" t="str">
        <x:v>System 3 Score</x:v>
      </x:c>
      <x:c r="H3" s="16" t="str">
        <x:v>System 3 Notes</x:v>
      </x:c>
      <x:c r="I3" s="16" t="str">
        <x:v>Best Combined Pattern</x:v>
      </x:c>
      <x:c r="J3" s="16" t="str">
        <x:v>Risk/Legal Note</x:v>
      </x:c>
      <x:c r="L3" s="26" t="str">
        <x:v>System</x:v>
      </x:c>
      <x:c r="M3" s="26" t="str">
        <x:v>Weighted Score</x:v>
      </x:c>
      <x:c r="N3" s="26" t="str">
        <x:v>Rank</x:v>
      </x:c>
    </x:row>
    <x:row r="4">
      <x:c r="A4" s="22" t="str">
        <x:v>Market rating/reputation</x:v>
      </x:c>
      <x:c r="B4" s="22" t="n">
        <x:v>10</x:v>
      </x:c>
      <x:c r="C4" s="22" t="str"/>
      <x:c r="D4" s="22" t="str"/>
      <x:c r="E4" s="22" t="str"/>
      <x:c r="F4" s="22" t="str"/>
      <x:c r="G4" s="22" t="str"/>
      <x:c r="H4" s="22" t="str"/>
      <x:c r="I4" s="22" t="str"/>
      <x:c r="J4" s="22" t="str"/>
      <x:c r="L4" t="str">
        <x:v>System 1</x:v>
      </x:c>
      <x:c r="M4" s="30" t="n">
        <x:f>SUMPRODUCT($B$4:$B$16,$C$4:$C$16)/SUM($B$4:$B$16)</x:f>
        <x:v>0</x:v>
      </x:c>
      <x:c r="N4" t="n">
        <x:f>RANK(M4,$M$4:$M$6,0)</x:f>
        <x:v>1</x:v>
      </x:c>
    </x:row>
    <x:row r="5">
      <x:c r="A5" s="22" t="str">
        <x:v>Offer clarity</x:v>
      </x:c>
      <x:c r="B5" s="22" t="n">
        <x:v>8</x:v>
      </x:c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  <x:c r="L5" t="str">
        <x:v>System 2</x:v>
      </x:c>
      <x:c r="M5" s="30" t="n">
        <x:f>SUMPRODUCT($B$4:$B$16,$E$4:$E$16)/SUM($B$4:$B$16)</x:f>
        <x:v>0</x:v>
      </x:c>
      <x:c r="N5" t="n">
        <x:f>RANK(M5,$M$4:$M$6,0)</x:f>
        <x:v>1</x:v>
      </x:c>
    </x:row>
    <x:row r="6">
      <x:c r="A6" s="22" t="str">
        <x:v>Pricing/model strength</x:v>
      </x:c>
      <x:c r="B6" s="22" t="n">
        <x:v>8</x:v>
      </x:c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  <x:c r="L6" t="str">
        <x:v>System 3</x:v>
      </x:c>
      <x:c r="M6" s="30" t="n">
        <x:f>SUMPRODUCT($B$4:$B$16,$G$4:$G$16)/SUM($B$4:$B$16)</x:f>
        <x:v>0</x:v>
      </x:c>
      <x:c r="N6" t="n">
        <x:f>RANK(M6,$M$4:$M$6,0)</x:f>
        <x:v>1</x:v>
      </x:c>
    </x:row>
    <x:row r="7">
      <x:c r="A7" s="22" t="str">
        <x:v>UX/onboarding speed</x:v>
      </x:c>
      <x:c r="B7" s="22" t="n">
        <x:v>9</x:v>
      </x:c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>
      <x:c r="A8" s="22" t="str">
        <x:v>Feature coverage</x:v>
      </x:c>
      <x:c r="B8" s="22" t="n">
        <x:v>10</x:v>
      </x:c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>
      <x:c r="A9" s="22" t="str">
        <x:v>Automation depth</x:v>
      </x:c>
      <x:c r="B9" s="22" t="n">
        <x:v>10</x:v>
      </x:c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>
      <x:c r="A10" s="22" t="str">
        <x:v>Integration ecosystem</x:v>
      </x:c>
      <x:c r="B10" s="22" t="n">
        <x:v>8</x:v>
      </x:c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>
      <x:c r="A11" s="22" t="str">
        <x:v>Content/social engine</x:v>
      </x:c>
      <x:c r="B11" s="22" t="n">
        <x:v>7</x:v>
      </x:c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>
      <x:c r="A12" s="22" t="str">
        <x:v>Lead generation engine</x:v>
      </x:c>
      <x:c r="B12" s="22" t="n">
        <x:v>9</x:v>
      </x:c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>
      <x:c r="A13" s="22" t="str">
        <x:v>Analytics/reporting</x:v>
      </x:c>
      <x:c r="B13" s="22" t="n">
        <x:v>6</x:v>
      </x:c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>
      <x:c r="A14" s="22" t="str">
        <x:v>Trust/compliance</x:v>
      </x:c>
      <x:c r="B14" s="22" t="n">
        <x:v>7</x:v>
      </x:c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>
      <x:c r="A15" s="22" t="str">
        <x:v>Support/fulfillment</x:v>
      </x:c>
      <x:c r="B15" s="22" t="n">
        <x:v>5</x:v>
      </x:c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</x:row>
    <x:row r="16">
      <x:c r="A16" s="22" t="str">
        <x:v>Differentiation potential</x:v>
      </x:c>
      <x:c r="B16" s="22" t="n">
        <x:v>8</x:v>
      </x:c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</x:row>
  </x:sheetData>
  <x:conditionalFormatting sqref="C4:C16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{B0A4A587-610E-EC2B-1E2E-175BDC81C777}</x14:id>
        </x:ext>
      </x:extLst>
    </x:cfRule>
  </x:conditionalFormatting>
  <x:conditionalFormatting sqref="E4:E16">
    <x:cfRule type="dataBar" priority="2">
      <x:dataBar>
        <x:cfvo type="min"/>
        <x:cfvo type="max"/>
        <x:color rgb="34D399"/>
      </x:dataBar>
      <x:extLst>
        <x:ext xmlns:x14="http://schemas.microsoft.com/office/spreadsheetml/2009/9/main" uri="{B025F937-C7B1-47D3-B67F-A62EFF666E3E}">
          <x14:id>{F3C6ADA2-F928-2D59-2475-779D4F7062E8}</x14:id>
        </x:ext>
      </x:extLst>
    </x:cfRule>
  </x:conditionalFormatting>
  <x:conditionalFormatting sqref="G4:G16">
    <x:cfRule type="dataBar" priority="3">
      <x:dataBar>
        <x:cfvo type="min"/>
        <x:cfvo type="max"/>
        <x:color rgb="FBBF24"/>
      </x:dataBar>
      <x:extLst>
        <x:ext xmlns:x14="http://schemas.microsoft.com/office/spreadsheetml/2009/9/main" uri="{B025F937-C7B1-47D3-B67F-A62EFF666E3E}">
          <x14:id>{7CB57810-844C-2170-6AEC-01E11C341193}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4d02062b65c4b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0A4A587-610E-EC2B-1E2E-175BDC81C777}">
            <x14:dataBar gradient="1">
              <x14:cfvo type="min"/>
              <x14:cfvo type="max"/>
              <x14:fillColor rgb="60A5FA"/>
            </x14:dataBar>
          </x14:cfRule>
          <xm:sqref>C4:C16</xm:sqref>
        </x14:conditionalFormatting>
        <x14:conditionalFormatting>
          <x14:cfRule type="dataBar" priority="2" id="{F3C6ADA2-F928-2D59-2475-779D4F7062E8}">
            <x14:dataBar gradient="1">
              <x14:cfvo type="min"/>
              <x14:cfvo type="max"/>
              <x14:fillColor rgb="34D399"/>
            </x14:dataBar>
          </x14:cfRule>
          <xm:sqref>E4:E16</xm:sqref>
        </x14:conditionalFormatting>
        <x14:conditionalFormatting>
          <x14:cfRule type="dataBar" priority="3" id="{7CB57810-844C-2170-6AEC-01E11C341193}">
            <x14:dataBar gradient="1">
              <x14:cfvo type="min"/>
              <x14:cfvo type="max"/>
              <x14:fillColor rgb="FBBF24"/>
            </x14:dataBar>
          </x14:cfRule>
          <xm:sqref>G4:G16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40" hidden="0" customWidth="1"/>
    <x:col min="8" max="8" width="45" hidden="0" customWidth="1"/>
    <x:col min="9" max="9" width="18" hidden="0" customWidth="1"/>
    <x:col min="10" max="10" width="16" hidden="0" customWidth="1"/>
  </x:cols>
  <x:sheetData>
    <x:row r="1">
      <x:c r="A1" s="6" t="str">
        <x:v>STRENGTHS + WEAKNESSES + FIXES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2">
      <x:c r="A2" t="str">
        <x:v>Benchmark strengths, weaknesses, and required fixes before building the new system.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16" t="str">
        <x:v>System Area</x:v>
      </x:c>
      <x:c r="B3" s="16" t="str">
        <x:v>Strength from System 1</x:v>
      </x:c>
      <x:c r="C3" s="16" t="str">
        <x:v>Strength from System 2</x:v>
      </x:c>
      <x:c r="D3" s="16" t="str">
        <x:v>Strength from System 3</x:v>
      </x:c>
      <x:c r="E3" s="16" t="str">
        <x:v>Weakness Observed</x:v>
      </x:c>
      <x:c r="F3" s="16" t="str">
        <x:v>Root Cause</x:v>
      </x:c>
      <x:c r="G3" s="16" t="str">
        <x:v>Fix Design</x:v>
      </x:c>
      <x:c r="H3" s="16" t="str">
        <x:v>10% Enhancement Hypothesis</x:v>
      </x:c>
      <x:c r="I3" s="16" t="str">
        <x:v>Owner</x:v>
      </x:c>
      <x:c r="J3" s="16" t="str">
        <x:v>Status</x:v>
      </x:c>
    </x:row>
    <x:row r="4">
      <x:c r="A4" s="22" t="str">
        <x:v>Offer</x:v>
      </x:c>
      <x:c r="B4" s="22" t="str"/>
      <x:c r="C4" s="22" t="str"/>
      <x:c r="D4" s="22" t="str"/>
      <x:c r="E4" s="22" t="str"/>
      <x:c r="F4" s="22" t="str"/>
      <x:c r="G4" s="22" t="str"/>
      <x:c r="H4" s="22" t="str"/>
      <x:c r="I4" s="22" t="str"/>
      <x:c r="J4" s="22" t="str"/>
    </x:row>
    <x:row r="5">
      <x:c r="A5" s="22" t="str">
        <x:v>UX</x:v>
      </x:c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</x:row>
    <x:row r="6">
      <x:c r="A6" s="22" t="str">
        <x:v>Automation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>
      <x:c r="A7" s="22" t="str">
        <x:v>Data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>
      <x:c r="A8" s="22" t="str">
        <x:v>Commerce</x:v>
      </x:c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>
      <x:c r="A9" s="22" t="str">
        <x:v>Content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>
      <x:c r="A10" s="22" t="str">
        <x:v>Lead Gen</x:v>
      </x:c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>
      <x:c r="A11" s="22" t="str">
        <x:v>Fulfillment</x:v>
      </x:c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>
      <x:c r="A12" s="22" t="str">
        <x:v>Reporting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>
      <x:c r="A13" s="22" t="str">
        <x:v>Governance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>
      <x:c r="A14" s="22" t="str">
        <x:v>Support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>
      <x:c r="A15" s="22" t="str">
        <x:v>Revenue Model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</x:row>
  </x:sheetData>
  <x:dataValidations count="1">
    <x:dataValidation type="list" sqref="J4:J30">
      <x:formula1>"Not Started,In Progress,Blocked,Needs Approval,Approved,Done"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c28d155f444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28" hidden="0" customWidth="1"/>
    <x:col min="7" max="7" width="38" hidden="0" customWidth="1"/>
  </x:cols>
  <x:sheetData>
    <x:row r="1">
      <x:c r="A1" s="6" t="str">
        <x:v>10%+ ENHANCEMENT MODEL</x:v>
      </x:c>
      <x:c r="B1" s="6" t="str"/>
      <x:c r="C1" s="6" t="str"/>
      <x:c r="D1" s="6" t="str"/>
      <x:c r="E1" s="6" t="str"/>
      <x:c r="F1" s="6" t="str"/>
      <x:c r="G1" s="6" t="str"/>
    </x:row>
    <x:row r="2">
      <x:c r="A2" t="str">
        <x:v>Quantify profit, efficiency, time, money, or reliability gain.</x:v>
      </x:c>
      <x:c r="B2" t="str"/>
      <x:c r="C2" t="str"/>
      <x:c r="D2" t="str"/>
      <x:c r="E2" t="str"/>
      <x:c r="F2" t="str"/>
      <x:c r="G2" t="str"/>
    </x:row>
    <x:row r="3">
      <x:c r="A3" s="16" t="str">
        <x:v>Metric</x:v>
      </x:c>
      <x:c r="B3" s="16" t="str">
        <x:v>Baseline</x:v>
      </x:c>
      <x:c r="C3" s="16" t="str">
        <x:v>Target / After</x:v>
      </x:c>
      <x:c r="D3" s="16" t="str">
        <x:v>Delta</x:v>
      </x:c>
      <x:c r="E3" s="16" t="str">
        <x:v>% Improvement</x:v>
      </x:c>
      <x:c r="F3" s="16" t="str">
        <x:v>Financial Impact Formula</x:v>
      </x:c>
      <x:c r="G3" s="16" t="str">
        <x:v>Notes</x:v>
      </x:c>
    </x:row>
    <x:row r="4">
      <x:c r="A4" s="22" t="str">
        <x:v>Monthly revenue</x:v>
      </x:c>
      <x:c r="B4" s="32" t="n">
        <x:v>0</x:v>
      </x:c>
      <x:c r="C4" s="32" t="n">
        <x:v>0</x:v>
      </x:c>
      <x:c r="D4" s="32" t="n">
        <x:f>C4-B4</x:f>
        <x:v>0</x:v>
      </x:c>
      <x:c r="E4" s="34" t="n">
        <x:f>IFERROR(D4/B4,0)</x:f>
        <x:v>0</x:v>
      </x:c>
      <x:c r="F4" s="32" t="n">
        <x:f>D4</x:f>
        <x:v>0</x:v>
      </x:c>
      <x:c r="G4" s="22" t="str"/>
    </x:row>
    <x:row r="5">
      <x:c r="A5" s="22" t="str">
        <x:v>Monthly software/tools cost</x:v>
      </x:c>
      <x:c r="B5" s="32" t="n">
        <x:v>0</x:v>
      </x:c>
      <x:c r="C5" s="32" t="n">
        <x:v>0</x:v>
      </x:c>
      <x:c r="D5" s="32" t="n">
        <x:f>B5-C5</x:f>
        <x:v>0</x:v>
      </x:c>
      <x:c r="E5" s="34" t="n">
        <x:f>IFERROR(D5/B5,0)</x:f>
        <x:v>0</x:v>
      </x:c>
      <x:c r="F5" s="32" t="n">
        <x:f>D5</x:f>
        <x:v>0</x:v>
      </x:c>
      <x:c r="G5" s="22" t="str">
        <x:v>Cost decrease positive</x:v>
      </x:c>
    </x:row>
    <x:row r="6">
      <x:c r="A6" s="22" t="str">
        <x:v>Monthly labor hours</x:v>
      </x:c>
      <x:c r="B6" s="32" t="n">
        <x:v>0</x:v>
      </x:c>
      <x:c r="C6" s="32" t="n">
        <x:v>0</x:v>
      </x:c>
      <x:c r="D6" s="32" t="n">
        <x:f>B6-C6</x:f>
        <x:v>0</x:v>
      </x:c>
      <x:c r="E6" s="34" t="n">
        <x:f>IFERROR(D6/B6,0)</x:f>
        <x:v>0</x:v>
      </x:c>
      <x:c r="F6" s="32" t="n">
        <x:f>D6*B7</x:f>
        <x:v>0</x:v>
      </x:c>
      <x:c r="G6" s="22" t="str">
        <x:v>Uses hourly value below</x:v>
      </x:c>
    </x:row>
    <x:row r="7">
      <x:c r="A7" s="22" t="str">
        <x:v>Hourly value</x:v>
      </x:c>
      <x:c r="B7" s="32" t="n">
        <x:v>0</x:v>
      </x:c>
      <x:c r="C7" s="32" t="n">
        <x:v>0</x:v>
      </x:c>
      <x:c r="D7" s="32" t="str"/>
      <x:c r="E7" s="34" t="str"/>
      <x:c r="F7" s="32" t="str"/>
      <x:c r="G7" s="22" t="str"/>
    </x:row>
    <x:row r="8">
      <x:c r="A8" s="22" t="str">
        <x:v>Lead conversion rate</x:v>
      </x:c>
      <x:c r="B8" s="32" t="n">
        <x:v>0</x:v>
      </x:c>
      <x:c r="C8" s="32" t="n">
        <x:v>0</x:v>
      </x:c>
      <x:c r="D8" s="32" t="n">
        <x:f>C8-B8</x:f>
        <x:v>0</x:v>
      </x:c>
      <x:c r="E8" s="34" t="n">
        <x:f>IFERROR(D8/B8,0)</x:f>
        <x:v>0</x:v>
      </x:c>
      <x:c r="F8" s="32" t="n">
        <x:f>D8*B9*B10</x:f>
        <x:v>0</x:v>
      </x:c>
      <x:c r="G8" s="22" t="str"/>
    </x:row>
    <x:row r="9">
      <x:c r="A9" s="22" t="str">
        <x:v>Monthly leads</x:v>
      </x:c>
      <x:c r="B9" s="32" t="n">
        <x:v>0</x:v>
      </x:c>
      <x:c r="C9" s="32" t="n">
        <x:v>0</x:v>
      </x:c>
      <x:c r="D9" s="32" t="str"/>
      <x:c r="E9" s="34" t="str"/>
      <x:c r="F9" s="32" t="str"/>
      <x:c r="G9" s="22" t="str"/>
    </x:row>
    <x:row r="10">
      <x:c r="A10" s="22" t="str">
        <x:v>Average order value</x:v>
      </x:c>
      <x:c r="B10" s="32" t="n">
        <x:v>0</x:v>
      </x:c>
      <x:c r="C10" s="32" t="n">
        <x:v>0</x:v>
      </x:c>
      <x:c r="D10" s="32" t="str"/>
      <x:c r="E10" s="34" t="str"/>
      <x:c r="F10" s="32" t="str"/>
      <x:c r="G10" s="22" t="str"/>
    </x:row>
    <x:row r="11">
      <x:c r="A11" s="22" t="str">
        <x:v>Fulfillment cycle time days</x:v>
      </x:c>
      <x:c r="B11" s="32" t="n">
        <x:v>0</x:v>
      </x:c>
      <x:c r="C11" s="32" t="n">
        <x:v>0</x:v>
      </x:c>
      <x:c r="D11" s="32" t="n">
        <x:f>B11-C11</x:f>
        <x:v>0</x:v>
      </x:c>
      <x:c r="E11" s="34" t="n">
        <x:f>IFERROR(D11/B11,0)</x:f>
        <x:v>0</x:v>
      </x:c>
      <x:c r="F11" s="32" t="str"/>
      <x:c r="G11" s="22" t="str"/>
    </x:row>
    <x:row r="12">
      <x:c r="A12" s="22" t="str">
        <x:v>Error/rework rate</x:v>
      </x:c>
      <x:c r="B12" s="32" t="n">
        <x:v>0</x:v>
      </x:c>
      <x:c r="C12" s="32" t="n">
        <x:v>0</x:v>
      </x:c>
      <x:c r="D12" s="32" t="n">
        <x:f>B12-C12</x:f>
        <x:v>0</x:v>
      </x:c>
      <x:c r="E12" s="34" t="n">
        <x:f>IFERROR(D12/B12,0)</x:f>
        <x:v>0</x:v>
      </x:c>
      <x:c r="F12" s="32" t="str"/>
      <x:c r="G12" s="22" t="str"/>
    </x:row>
    <x:row r="13">
      <x:c r="A13" s="22" t="str">
        <x:v>Total Estimated Monthly Value</x:v>
      </x:c>
      <x:c r="B13" s="32" t="str"/>
      <x:c r="C13" s="32" t="str"/>
      <x:c r="D13" s="32" t="str"/>
      <x:c r="E13" s="34" t="str"/>
      <x:c r="F13" s="32" t="n">
        <x:f>SUM(F4:F12)</x:f>
        <x:v>0</x:v>
      </x:c>
      <x:c r="G13" s="22" t="str"/>
    </x:row>
    <x:row r="14">
      <x:c r="A14" s="22" t="str">
        <x:v>Minimum Enhancement Gate</x:v>
      </x:c>
      <x:c r="B14" s="32" t="str"/>
      <x:c r="C14" s="32" t="str"/>
      <x:c r="D14" s="32" t="str"/>
      <x:c r="E14" s="34" t="n">
        <x:f>MAX(E4:E12)</x:f>
        <x:v>0</x:v>
      </x:c>
      <x:c r="F14" s="32" t="str">
        <x:f>IF(E14&gt;=10%,"PASS","FAIL")</x:f>
        <x:v>FAIL</x:v>
      </x:c>
      <x:c r="G14" s="22" t="str">
        <x:v>Must hit 10%+ in at least one measurable category</x:v>
      </x:c>
    </x:row>
    <x:row r="15">
      <x:c r="B15" s="30"/>
      <x:c r="C15" s="30"/>
      <x:c r="D15" s="30"/>
      <x:c r="E15" s="35"/>
      <x:c r="F15" s="30"/>
    </x:row>
  </x:sheetData>
  <x:conditionalFormatting sqref="E4:E15">
    <x:cfRule type="cellIs" dxfId="0" priority="1" operator="greaterThanOrEqual">
      <x:formula>0.1</x:formula>
    </x:cfRule>
    <x:cfRule type="cellIs" dxfId="1" priority="2" operator="lessThan">
      <x:formula>0.1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14" hidden="0" customWidth="1"/>
  </x:cols>
  <x:sheetData>
    <x:row r="1">
      <x:c r="A1" s="6" t="str">
        <x:v>UNIVERSAL AGENT SPEC</x:v>
      </x:c>
      <x:c r="B1" s="6" t="str"/>
      <x:c r="C1" s="6" t="str"/>
    </x:row>
    <x:row r="2">
      <x:c r="A2" t="str">
        <x:v>Required contract for every one-and-done Auto Builder agent.</x:v>
      </x:c>
      <x:c r="B2" t="str"/>
      <x:c r="C2" t="str"/>
    </x:row>
    <x:row r="3">
      <x:c r="A3" s="16" t="str">
        <x:v>Field</x:v>
      </x:c>
      <x:c r="B3" s="16" t="str">
        <x:v>Value / Instruction</x:v>
      </x:c>
      <x:c r="C3" s="16" t="str">
        <x:v>Required</x:v>
      </x:c>
    </x:row>
    <x:row r="4">
      <x:c r="A4" s="22" t="str">
        <x:v>Agent Name</x:v>
      </x:c>
      <x:c r="B4" s="22" t="str"/>
      <x:c r="C4" s="22" t="str">
        <x:v>Required</x:v>
      </x:c>
    </x:row>
    <x:row r="5">
      <x:c r="A5" s="22" t="str">
        <x:v>Purpose</x:v>
      </x:c>
      <x:c r="B5" s="22" t="str"/>
      <x:c r="C5" s="22" t="str">
        <x:v>Required</x:v>
      </x:c>
    </x:row>
    <x:row r="6">
      <x:c r="A6" s="22" t="str">
        <x:v>Owner</x:v>
      </x:c>
      <x:c r="B6" s="22" t="str"/>
      <x:c r="C6" s="22" t="str">
        <x:v>Required</x:v>
      </x:c>
    </x:row>
    <x:row r="7">
      <x:c r="A7" s="22" t="str">
        <x:v>Project Location</x:v>
      </x:c>
      <x:c r="B7" s="22" t="str"/>
      <x:c r="C7" s="22" t="str">
        <x:v>Required</x:v>
      </x:c>
    </x:row>
    <x:row r="8">
      <x:c r="A8" s="22" t="str">
        <x:v>Source Truth</x:v>
      </x:c>
      <x:c r="B8" s="22" t="str"/>
      <x:c r="C8" s="22" t="str">
        <x:v>Required</x:v>
      </x:c>
    </x:row>
    <x:row r="9">
      <x:c r="A9" s="22" t="str">
        <x:v>Inputs</x:v>
      </x:c>
      <x:c r="B9" s="22" t="str"/>
      <x:c r="C9" s="22" t="str">
        <x:v>Required</x:v>
      </x:c>
    </x:row>
    <x:row r="10">
      <x:c r="A10" s="22" t="str">
        <x:v>Outputs</x:v>
      </x:c>
      <x:c r="B10" s="22" t="str"/>
      <x:c r="C10" s="22" t="str">
        <x:v>Required</x:v>
      </x:c>
    </x:row>
    <x:row r="11">
      <x:c r="A11" s="22" t="str">
        <x:v>Allowed Tools/Connectors</x:v>
      </x:c>
      <x:c r="B11" s="22" t="str"/>
      <x:c r="C11" s="22" t="str">
        <x:v>Required</x:v>
      </x:c>
    </x:row>
    <x:row r="12">
      <x:c r="A12" s="22" t="str">
        <x:v>Permissions</x:v>
      </x:c>
      <x:c r="B12" s="22" t="str"/>
      <x:c r="C12" s="22" t="str">
        <x:v>Required</x:v>
      </x:c>
    </x:row>
    <x:row r="13">
      <x:c r="A13" s="22" t="str">
        <x:v>Autonomy Level</x:v>
      </x:c>
      <x:c r="B13" s="22" t="str">
        <x:v>Recommend: Advisory / Draft / Execute with approval / Autonomous within guardrails</x:v>
      </x:c>
      <x:c r="C13" s="22" t="str">
        <x:v>Required</x:v>
      </x:c>
    </x:row>
    <x:row r="14">
      <x:c r="A14" s="22" t="str">
        <x:v>Approval Requirements</x:v>
      </x:c>
      <x:c r="B14" s="22" t="str"/>
      <x:c r="C14" s="22" t="str">
        <x:v>Required</x:v>
      </x:c>
    </x:row>
    <x:row r="15">
      <x:c r="A15" s="22" t="str">
        <x:v>Logging Location</x:v>
      </x:c>
      <x:c r="B15" s="22" t="str">
        <x:v>Supabase audit_log + Drive handoff folder + GitHub issue trail</x:v>
      </x:c>
      <x:c r="C15" s="22" t="str">
        <x:v>Required</x:v>
      </x:c>
    </x:row>
    <x:row r="16">
      <x:c r="A16" s="22" t="str">
        <x:v>Failure Modes</x:v>
      </x:c>
      <x:c r="B16" s="22" t="str"/>
      <x:c r="C16" s="22" t="str">
        <x:v>Required</x:v>
      </x:c>
    </x:row>
    <x:row r="17">
      <x:c r="A17" s="22" t="str">
        <x:v>Fallback Mode</x:v>
      </x:c>
      <x:c r="B17" s="22" t="str"/>
      <x:c r="C17" s="22" t="str">
        <x:v>Required</x:v>
      </x:c>
    </x:row>
    <x:row r="18">
      <x:c r="A18" s="22" t="str">
        <x:v>Evaluation Tests</x:v>
      </x:c>
      <x:c r="B18" s="22" t="str"/>
      <x:c r="C18" s="22" t="str">
        <x:v>Required</x:v>
      </x:c>
    </x:row>
    <x:row r="19">
      <x:c r="A19" s="22" t="str">
        <x:v>Success Metrics</x:v>
      </x:c>
      <x:c r="B19" s="22" t="str"/>
      <x:c r="C19" s="22" t="str">
        <x:v>Required</x:v>
      </x:c>
    </x:row>
    <x:row r="20">
      <x:c r="A20" s="22" t="str">
        <x:v>Rollback Plan</x:v>
      </x:c>
      <x:c r="B20" s="22" t="str"/>
      <x:c r="C20" s="22" t="str">
        <x:v>Required</x:v>
      </x:c>
    </x:row>
    <x:row r="21">
      <x:c r="A21" s="22" t="str">
        <x:v>Version Number</x:v>
      </x:c>
      <x:c r="B21" s="22" t="str">
        <x:v>v1.0.0</x:v>
      </x:c>
      <x:c r="C21" s="22" t="str">
        <x:v>Required</x:v>
      </x:c>
    </x:row>
    <x:row r="22">
      <x:c r="A22" s="22" t="str">
        <x:v>Next Improvement Loop</x:v>
      </x:c>
      <x:c r="B22" s="22" t="str"/>
      <x:c r="C22" s="22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1eaacddf8a2340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5" hidden="0" customWidth="1"/>
    <x:col min="4" max="4" width="35" hidden="0" customWidth="1"/>
    <x:col min="5" max="5" width="30" hidden="0" customWidth="1"/>
    <x:col min="6" max="6" width="30" hidden="0" customWidth="1"/>
    <x:col min="7" max="7" width="35" hidden="0" customWidth="1"/>
    <x:col min="8" max="8" width="30" hidden="0" customWidth="1"/>
  </x:cols>
  <x:sheetData>
    <x:row r="1">
      <x:c r="A1" s="6" t="str">
        <x:v>WORKFLOW + SYSTEM BLUEPRINT</x:v>
      </x:c>
      <x:c r="B1" s="6" t="str"/>
      <x:c r="C1" s="6" t="str"/>
      <x:c r="D1" s="6" t="str"/>
      <x:c r="E1" s="6" t="str"/>
      <x:c r="F1" s="6" t="str"/>
      <x:c r="G1" s="6" t="str"/>
      <x:c r="H1" s="6" t="str"/>
    </x:row>
    <x:row r="2">
      <x:c r="A2" t="str">
        <x:v>Convert the benchmarked design into an executable system map.</x:v>
      </x:c>
      <x:c r="B2" t="str"/>
      <x:c r="C2" t="str"/>
      <x:c r="D2" t="str"/>
      <x:c r="E2" t="str"/>
      <x:c r="F2" t="str"/>
      <x:c r="G2" t="str"/>
      <x:c r="H2" t="str"/>
    </x:row>
    <x:row r="3">
      <x:c r="A3" s="16" t="str">
        <x:v>Stage</x:v>
      </x:c>
      <x:c r="B3" s="16" t="str">
        <x:v>Inputs</x:v>
      </x:c>
      <x:c r="C3" s="16" t="str">
        <x:v>Actions</x:v>
      </x:c>
      <x:c r="D3" s="16" t="str">
        <x:v>Outputs</x:v>
      </x:c>
      <x:c r="E3" s="16" t="str">
        <x:v>Tools</x:v>
      </x:c>
      <x:c r="F3" s="16" t="str">
        <x:v>Data Objects</x:v>
      </x:c>
      <x:c r="G3" s="16" t="str">
        <x:v>Failure Modes</x:v>
      </x:c>
      <x:c r="H3" s="16" t="str">
        <x:v>Gate</x:v>
      </x:c>
    </x:row>
    <x:row r="4">
      <x:c r="A4" s="22" t="str">
        <x:v>Capture</x:v>
      </x:c>
      <x:c r="B4" s="22" t="str"/>
      <x:c r="C4" s="22" t="str"/>
      <x:c r="D4" s="22" t="str"/>
      <x:c r="E4" s="22" t="str"/>
      <x:c r="F4" s="22" t="str"/>
      <x:c r="G4" s="22" t="str"/>
      <x:c r="H4" s="22" t="str"/>
    </x:row>
    <x:row r="5">
      <x:c r="A5" s="22" t="str">
        <x:v>Organize</x:v>
      </x:c>
      <x:c r="B5" s="22" t="str"/>
      <x:c r="C5" s="22" t="str"/>
      <x:c r="D5" s="22" t="str"/>
      <x:c r="E5" s="22" t="str"/>
      <x:c r="F5" s="22" t="str"/>
      <x:c r="G5" s="22" t="str"/>
      <x:c r="H5" s="22" t="str"/>
    </x:row>
    <x:row r="6">
      <x:c r="A6" s="22" t="str">
        <x:v>Design</x:v>
      </x:c>
      <x:c r="B6" s="22" t="str"/>
      <x:c r="C6" s="22" t="str"/>
      <x:c r="D6" s="22" t="str"/>
      <x:c r="E6" s="22" t="str"/>
      <x:c r="F6" s="22" t="str"/>
      <x:c r="G6" s="22" t="str"/>
      <x:c r="H6" s="22" t="str"/>
    </x:row>
    <x:row r="7">
      <x:c r="A7" s="22" t="str">
        <x:v>Build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>
      <x:c r="A8" s="22" t="str">
        <x:v>Test</x:v>
      </x:c>
      <x:c r="B8" s="22" t="str"/>
      <x:c r="C8" s="22" t="str"/>
      <x:c r="D8" s="22" t="str"/>
      <x:c r="E8" s="22" t="str"/>
      <x:c r="F8" s="22" t="str"/>
      <x:c r="G8" s="22" t="str"/>
      <x:c r="H8" s="22" t="str"/>
    </x:row>
    <x:row r="9">
      <x:c r="A9" s="22" t="str">
        <x:v>Verify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>
      <x:c r="A10" s="22" t="str">
        <x:v>Approve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>
      <x:c r="A11" s="22" t="str">
        <x:v>Deploy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>
      <x:c r="A12" s="22" t="str">
        <x:v>Measure</x:v>
      </x:c>
      <x:c r="B12" s="22" t="str"/>
      <x:c r="C12" s="22" t="str"/>
      <x:c r="D12" s="22" t="str"/>
      <x:c r="E12" s="22" t="str"/>
      <x:c r="F12" s="22" t="str"/>
      <x:c r="G12" s="22" t="str"/>
      <x:c r="H12" s="22" t="str"/>
    </x:row>
    <x:row r="13">
      <x:c r="A13" s="22" t="str">
        <x:v>Improve</x:v>
      </x:c>
      <x:c r="B13" s="22" t="str"/>
      <x:c r="C13" s="22" t="str"/>
      <x:c r="D13" s="22" t="str"/>
      <x:c r="E13" s="22" t="str"/>
      <x:c r="F13" s="22" t="str"/>
      <x:c r="G13" s="22" t="str"/>
      <x:c r="H13" s="22" t="str"/>
    </x:row>
  </x:sheetData>
  <x:pageMargins left="0.7" right="0.7" top="0.75" bottom="0.75" header="0.3" footer="0.3"/>
  <x:tableParts count="1">
    <x:tablePart xmlns:r="http://schemas.openxmlformats.org/officeDocument/2006/relationships" r:id="R4ca5aec5bf914ec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40" hidden="0" customWidth="1"/>
    <x:col min="4" max="4" width="45" hidden="0" customWidth="1"/>
    <x:col min="5" max="5" width="40" hidden="0" customWidth="1"/>
  </x:cols>
  <x:sheetData>
    <x:row r="1">
      <x:c r="A1" s="6" t="str">
        <x:v>STACK + CONNECTOR MAP</x:v>
      </x:c>
      <x:c r="B1" s="6" t="str"/>
      <x:c r="C1" s="6" t="str"/>
      <x:c r="D1" s="6" t="str"/>
      <x:c r="E1" s="6" t="str"/>
    </x:row>
    <x:row r="2">
      <x:c r="A2" t="str">
        <x:v>Default implementation stack and required credential inventory.</x:v>
      </x:c>
      <x:c r="B2" t="str"/>
      <x:c r="C2" t="str"/>
      <x:c r="D2" t="str"/>
      <x:c r="E2" t="str"/>
    </x:row>
    <x:row r="3">
      <x:c r="A3" s="16" t="str">
        <x:v>Tool</x:v>
      </x:c>
      <x:c r="B3" s="16" t="str">
        <x:v>Role</x:v>
      </x:c>
      <x:c r="C3" s="16" t="str">
        <x:v>Use In System</x:v>
      </x:c>
      <x:c r="D3" s="16" t="str">
        <x:v>Credentials / Environment Needed</x:v>
      </x:c>
      <x:c r="E3" s="16" t="str">
        <x:v>Governance Gate</x:v>
      </x:c>
    </x:row>
    <x:row r="4">
      <x:c r="A4" s="22" t="str">
        <x:v>GitHub</x:v>
      </x:c>
      <x:c r="B4" s="22" t="str">
        <x:v>Repos, issues, PRs, version control, CI visibility</x:v>
      </x:c>
      <x:c r="C4" s="22" t="str">
        <x:v>Build source, docs, tasks, release trail</x:v>
      </x:c>
      <x:c r="D4" s="22" t="str">
        <x:v>Repo URL, branch, issue labels, PR policy</x:v>
      </x:c>
      <x:c r="E4" s="22" t="str">
        <x:v>Required before production</x:v>
      </x:c>
    </x:row>
    <x:row r="5">
      <x:c r="A5" s="22" t="str">
        <x:v>Vercel</x:v>
      </x:c>
      <x:c r="B5" s="22" t="str">
        <x:v>Next.js frontend, deployments, previews, env vars</x:v>
      </x:c>
      <x:c r="C5" s="22" t="str">
        <x:v>Operating surface and deployment</x:v>
      </x:c>
      <x:c r="D5" s="22" t="str">
        <x:v>Project ID, team, env vars, domains</x:v>
      </x:c>
      <x:c r="E5" s="22" t="str">
        <x:v>Preview deploy before production</x:v>
      </x:c>
    </x:row>
    <x:row r="6">
      <x:c r="A6" s="22" t="str">
        <x:v>Vercel Sandbox</x:v>
      </x:c>
      <x:c r="B6" s="22" t="str">
        <x:v>Sandbox-first build/test surface</x:v>
      </x:c>
      <x:c r="C6" s="22" t="str">
        <x:v>Safe execution and validation</x:v>
      </x:c>
      <x:c r="D6" s="22" t="str">
        <x:v>Sandbox config and branch</x:v>
      </x:c>
      <x:c r="E6" s="22" t="str">
        <x:v>Do not go live without approval</x:v>
      </x:c>
    </x:row>
    <x:row r="7">
      <x:c r="A7" s="22" t="str">
        <x:v>Vercel Workflows/Agents/Crons</x:v>
      </x:c>
      <x:c r="B7" s="22" t="str">
        <x:v>Scheduled jobs, agents, recurring automations</x:v>
      </x:c>
      <x:c r="C7" s="22" t="str">
        <x:v>Lead processing, monitoring, content queues</x:v>
      </x:c>
      <x:c r="D7" s="22" t="str">
        <x:v>Cron specs, agent instructions</x:v>
      </x:c>
      <x:c r="E7" s="22" t="str">
        <x:v>Governed schedules only</x:v>
      </x:c>
    </x:row>
    <x:row r="8">
      <x:c r="A8" s="22" t="str">
        <x:v>Supabase</x:v>
      </x:c>
      <x:c r="B8" s="22" t="str">
        <x:v>Database, auth, storage, logs, queues</x:v>
      </x:c>
      <x:c r="C8" s="22" t="str">
        <x:v>System state, audit logs, jobs, metrics</x:v>
      </x:c>
      <x:c r="D8" s="22" t="str">
        <x:v>Project URL, anon/service keys, RLS plan</x:v>
      </x:c>
      <x:c r="E8" s="22" t="str">
        <x:v>RLS and audit logs required</x:v>
      </x:c>
    </x:row>
    <x:row r="9">
      <x:c r="A9" s="22" t="str">
        <x:v>Shopify</x:v>
      </x:c>
      <x:c r="B9" s="22" t="str">
        <x:v>Commerce source of truth</x:v>
      </x:c>
      <x:c r="C9" s="22" t="str">
        <x:v>Products, collections, orders, customer events</x:v>
      </x:c>
      <x:c r="D9" s="22" t="str">
        <x:v>Store URL, Admin API token, app scopes</x:v>
      </x:c>
      <x:c r="E9" s="22" t="str">
        <x:v>Only if commerce applies</x:v>
      </x:c>
    </x:row>
    <x:row r="10">
      <x:c r="A10" s="22" t="str">
        <x:v>OpenAI</x:v>
      </x:c>
      <x:c r="B10" s="22" t="str">
        <x:v>Orchestration and generation</x:v>
      </x:c>
      <x:c r="C10" s="22" t="str">
        <x:v>Research, planning, agents, scoring, drafts</x:v>
      </x:c>
      <x:c r="D10" s="22" t="str">
        <x:v>API key, model policy, evals</x:v>
      </x:c>
      <x:c r="E10" s="22" t="str">
        <x:v>Do not publish without approval if high risk</x:v>
      </x:c>
    </x:row>
    <x:row r="11">
      <x:c r="A11" s="22" t="str">
        <x:v>Google Drive</x:v>
      </x:c>
      <x:c r="B11" s="22" t="str">
        <x:v>Data/docs source truth</x:v>
      </x:c>
      <x:c r="C11" s="22" t="str">
        <x:v>File storage, handoff, client docs</x:v>
      </x:c>
      <x:c r="D11" s="22" t="str">
        <x:v>Folder URLs, naming taxonomy</x:v>
      </x:c>
      <x:c r="E11" s="22" t="str">
        <x:v>Drive is source for documents</x:v>
      </x:c>
    </x:row>
    <x:row r="12">
      <x:c r="A12" s="22" t="str">
        <x:v>Xyla</x:v>
      </x:c>
      <x:c r="B12" s="22" t="str">
        <x:v>Creative/publishing engine</x:v>
      </x:c>
      <x:c r="C12" s="22" t="str">
        <x:v>Production creative and publishing</x:v>
      </x:c>
      <x:c r="D12" s="22" t="str">
        <x:v>Account/API/config</x:v>
      </x:c>
      <x:c r="E12" s="22" t="str">
        <x:v>Use when connected/available</x:v>
      </x:c>
    </x:row>
    <x:row r="13">
      <x:c r="A13" s="22" t="str">
        <x:v>Opus</x:v>
      </x:c>
      <x:c r="B13" s="22" t="str">
        <x:v>Video repurposing</x:v>
      </x:c>
      <x:c r="C13" s="22" t="str">
        <x:v>Repurpose long-form video/social clips</x:v>
      </x:c>
      <x:c r="D13" s="22" t="str">
        <x:v>Account and source videos</x:v>
      </x:c>
      <x:c r="E13" s="22" t="str">
        <x:v>Use if necessary</x:v>
      </x:c>
    </x:row>
    <x:row r="14">
      <x:c r="A14" s="22" t="str">
        <x:v>Slack/Gmail/Calendar</x:v>
      </x:c>
      <x:c r="B14" s="22" t="str">
        <x:v>Ops communication and scheduling</x:v>
      </x:c>
      <x:c r="C14" s="22" t="str">
        <x:v>Alerts, approvals, meetings, task reminders</x:v>
      </x:c>
      <x:c r="D14" s="22" t="str">
        <x:v>Workspace/account access</x:v>
      </x:c>
      <x:c r="E14" s="22" t="str">
        <x:v>Do not spam or auto-send without policy</x:v>
      </x:c>
    </x:row>
  </x:sheetData>
  <x:pageMargins left="0.7" right="0.7" top="0.75" bottom="0.75" header="0.3" footer="0.3"/>
  <x:tableParts count="1">
    <x:tablePart xmlns:r="http://schemas.openxmlformats.org/officeDocument/2006/relationships" r:id="Re49fb2c6a4b24ff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5" hidden="0" customWidth="1"/>
    <x:col min="4" max="4" width="16" hidden="0" customWidth="1"/>
    <x:col min="5" max="5" width="12" hidden="0" customWidth="1"/>
    <x:col min="6" max="6" width="45" hidden="0" customWidth="1"/>
    <x:col min="7" max="7" width="25" hidden="0" customWidth="1"/>
  </x:cols>
  <x:sheetData>
    <x:row r="1">
      <x:c r="A1" s="6" t="str">
        <x:v>ENV + CREDENTIALS REGISTER</x:v>
      </x:c>
      <x:c r="B1" s="6" t="str"/>
      <x:c r="C1" s="6" t="str"/>
      <x:c r="D1" s="6" t="str"/>
      <x:c r="E1" s="6" t="str"/>
      <x:c r="F1" s="6" t="str"/>
      <x:c r="G1" s="6" t="str"/>
    </x:row>
    <x:row r="2">
      <x:c r="A2" t="str">
        <x:v>Production credentials required before build or deployment.</x:v>
      </x:c>
      <x:c r="B2" t="str"/>
      <x:c r="C2" t="str"/>
      <x:c r="D2" t="str"/>
      <x:c r="E2" t="str"/>
      <x:c r="F2" t="str"/>
      <x:c r="G2" t="str"/>
    </x:row>
    <x:row r="3">
      <x:c r="A3" s="16" t="str">
        <x:v>Variable / Access</x:v>
      </x:c>
      <x:c r="B3" s="16" t="str">
        <x:v>Platform</x:v>
      </x:c>
      <x:c r="C3" s="16" t="str">
        <x:v>Scope</x:v>
      </x:c>
      <x:c r="D3" s="16" t="str">
        <x:v>Need Level</x:v>
      </x:c>
      <x:c r="E3" s="16" t="str">
        <x:v>Secret?</x:v>
      </x:c>
      <x:c r="F3" s="16" t="str">
        <x:v>Purpose</x:v>
      </x:c>
      <x:c r="G3" s="16" t="str">
        <x:v>Owner/Status</x:v>
      </x:c>
    </x:row>
    <x:row r="4">
      <x:c r="A4" s="22" t="str">
        <x:v>OPENAI_API_KEY</x:v>
      </x:c>
      <x:c r="B4" s="22" t="str">
        <x:v>OpenAI</x:v>
      </x:c>
      <x:c r="C4" s="22" t="str">
        <x:v>Server only</x:v>
      </x:c>
      <x:c r="D4" s="22" t="str">
        <x:v>Required</x:v>
      </x:c>
      <x:c r="E4" s="22" t="str">
        <x:v>No</x:v>
      </x:c>
      <x:c r="F4" s="22" t="str">
        <x:v>Used by orchestration, analysis, generation, evals</x:v>
      </x:c>
      <x:c r="G4" s="22" t="str"/>
    </x:row>
    <x:row r="5">
      <x:c r="A5" s="22" t="str">
        <x:v>SUPABASE_URL</x:v>
      </x:c>
      <x:c r="B5" s="22" t="str">
        <x:v>Supabase</x:v>
      </x:c>
      <x:c r="C5" s="22" t="str">
        <x:v>Server/client as appropriate</x:v>
      </x:c>
      <x:c r="D5" s="22" t="str">
        <x:v>Required</x:v>
      </x:c>
      <x:c r="E5" s="22" t="str">
        <x:v>No</x:v>
      </x:c>
      <x:c r="F5" s="22" t="str">
        <x:v>Project URL</x:v>
      </x:c>
      <x:c r="G5" s="22" t="str"/>
    </x:row>
    <x:row r="6">
      <x:c r="A6" s="22" t="str">
        <x:v>SUPABASE_ANON_KEY</x:v>
      </x:c>
      <x:c r="B6" s="22" t="str">
        <x:v>Supabase</x:v>
      </x:c>
      <x:c r="C6" s="22" t="str">
        <x:v>Client allowed with RLS</x:v>
      </x:c>
      <x:c r="D6" s="22" t="str">
        <x:v>Required</x:v>
      </x:c>
      <x:c r="E6" s="22" t="str">
        <x:v>No</x:v>
      </x:c>
      <x:c r="F6" s="22" t="str">
        <x:v>Client access with RLS</x:v>
      </x:c>
      <x:c r="G6" s="22" t="str"/>
    </x:row>
    <x:row r="7">
      <x:c r="A7" s="22" t="str">
        <x:v>SUPABASE_SERVICE_ROLE_KEY</x:v>
      </x:c>
      <x:c r="B7" s="22" t="str">
        <x:v>Supabase</x:v>
      </x:c>
      <x:c r="C7" s="22" t="str">
        <x:v>Server only</x:v>
      </x:c>
      <x:c r="D7" s="22" t="str">
        <x:v>Conditional</x:v>
      </x:c>
      <x:c r="E7" s="22" t="str">
        <x:v>Yes</x:v>
      </x:c>
      <x:c r="F7" s="22" t="str">
        <x:v>Admin jobs, queues, migrations</x:v>
      </x:c>
      <x:c r="G7" s="22" t="str"/>
    </x:row>
    <x:row r="8">
      <x:c r="A8" s="22" t="str">
        <x:v>SHOPIFY_ADMIN_API_TOKEN</x:v>
      </x:c>
      <x:c r="B8" s="22" t="str">
        <x:v>Shopify</x:v>
      </x:c>
      <x:c r="C8" s="22" t="str">
        <x:v>Server only</x:v>
      </x:c>
      <x:c r="D8" s="22" t="str">
        <x:v>Conditional</x:v>
      </x:c>
      <x:c r="E8" s="22" t="str">
        <x:v>Yes</x:v>
      </x:c>
      <x:c r="F8" s="22" t="str">
        <x:v>Commerce source truth</x:v>
      </x:c>
      <x:c r="G8" s="22" t="str"/>
    </x:row>
    <x:row r="9">
      <x:c r="A9" s="22" t="str">
        <x:v>SHOPIFY_STORE_DOMAIN</x:v>
      </x:c>
      <x:c r="B9" s="22" t="str">
        <x:v>Shopify</x:v>
      </x:c>
      <x:c r="C9" s="22" t="str">
        <x:v>Server only</x:v>
      </x:c>
      <x:c r="D9" s="22" t="str">
        <x:v>Conditional</x:v>
      </x:c>
      <x:c r="E9" s="22" t="str">
        <x:v>No</x:v>
      </x:c>
      <x:c r="F9" s="22" t="str">
        <x:v>Store domain</x:v>
      </x:c>
      <x:c r="G9" s="22" t="str"/>
    </x:row>
    <x:row r="10">
      <x:c r="A10" s="22" t="str">
        <x:v>VERCEL_PROJECT_ID</x:v>
      </x:c>
      <x:c r="B10" s="22" t="str">
        <x:v>Vercel</x:v>
      </x:c>
      <x:c r="C10" s="22" t="str">
        <x:v>Server/deploy</x:v>
      </x:c>
      <x:c r="D10" s="22" t="str">
        <x:v>Required</x:v>
      </x:c>
      <x:c r="E10" s="22" t="str">
        <x:v>No</x:v>
      </x:c>
      <x:c r="F10" s="22" t="str">
        <x:v>Deployment target</x:v>
      </x:c>
      <x:c r="G10" s="22" t="str"/>
    </x:row>
    <x:row r="11">
      <x:c r="A11" s="22" t="str">
        <x:v>GITHUB_TOKEN</x:v>
      </x:c>
      <x:c r="B11" s="22" t="str">
        <x:v>GitHub</x:v>
      </x:c>
      <x:c r="C11" s="22" t="str">
        <x:v>Server/CI</x:v>
      </x:c>
      <x:c r="D11" s="22" t="str">
        <x:v>Required</x:v>
      </x:c>
      <x:c r="E11" s="22" t="str">
        <x:v>Yes</x:v>
      </x:c>
      <x:c r="F11" s="22" t="str">
        <x:v>Issues, branches, PRs</x:v>
      </x:c>
      <x:c r="G11" s="22" t="str"/>
    </x:row>
    <x:row r="12">
      <x:c r="A12" s="22" t="str">
        <x:v>XYLA_API_KEY</x:v>
      </x:c>
      <x:c r="B12" s="22" t="str">
        <x:v>Xyla</x:v>
      </x:c>
      <x:c r="C12" s="22" t="str">
        <x:v>Server only</x:v>
      </x:c>
      <x:c r="D12" s="22" t="str">
        <x:v>Conditional</x:v>
      </x:c>
      <x:c r="E12" s="22" t="str">
        <x:v>Yes</x:v>
      </x:c>
      <x:c r="F12" s="22" t="str">
        <x:v>Creative/publishing</x:v>
      </x:c>
      <x:c r="G12" s="22" t="str"/>
    </x:row>
    <x:row r="13">
      <x:c r="A13" s="22" t="str">
        <x:v>OPUS_ACCOUNT_ACCESS</x:v>
      </x:c>
      <x:c r="B13" s="22" t="str">
        <x:v>Opus</x:v>
      </x:c>
      <x:c r="C13" s="22" t="str">
        <x:v>Manual/API if available</x:v>
      </x:c>
      <x:c r="D13" s="22" t="str">
        <x:v>Optional</x:v>
      </x:c>
      <x:c r="E13" s="22" t="str">
        <x:v>Yes</x:v>
      </x:c>
      <x:c r="F13" s="22" t="str">
        <x:v>Video repurposing</x:v>
      </x:c>
      <x:c r="G13" s="22" t="str"/>
    </x:row>
  </x:sheetData>
  <x:pageMargins left="0.7" right="0.7" top="0.75" bottom="0.75" header="0.3" footer="0.3"/>
  <x:tableParts count="1">
    <x:tablePart xmlns:r="http://schemas.openxmlformats.org/officeDocument/2006/relationships" r:id="R3e08a1bd019d41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5" hidden="0" customWidth="1"/>
    <x:col min="4" max="4" width="20" hidden="0" customWidth="1"/>
    <x:col min="5" max="5" width="28" hidden="0" customWidth="1"/>
    <x:col min="6" max="6" width="22" hidden="0" customWidth="1"/>
    <x:col min="7" max="7" width="42" hidden="0" customWidth="1"/>
    <x:col min="8" max="8" width="28" hidden="0" customWidth="1"/>
    <x:col min="9" max="9" width="18" hidden="0" customWidth="1"/>
    <x:col min="10" max="10" width="16" hidden="0" customWidth="1"/>
  </x:cols>
  <x:sheetData>
    <x:row r="1">
      <x:c r="A1" s="6" t="str">
        <x:v>AUTONOMOUS SOCIAL + LEAD GENERATION OS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2">
      <x:c r="A2" t="str">
        <x:v>Channel-native content, lead capture, nurture, and approval workflow.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16" t="str">
        <x:v>Channel</x:v>
      </x:c>
      <x:c r="B3" s="16" t="str">
        <x:v>Audience Job</x:v>
      </x:c>
      <x:c r="C3" s="16" t="str">
        <x:v>Content Pillars</x:v>
      </x:c>
      <x:c r="D3" s="16" t="str">
        <x:v>Posting Cadence</x:v>
      </x:c>
      <x:c r="E3" s="16" t="str">
        <x:v>Lead Magnet</x:v>
      </x:c>
      <x:c r="F3" s="16" t="str">
        <x:v>CTA</x:v>
      </x:c>
      <x:c r="G3" s="16" t="str">
        <x:v>Automation</x:v>
      </x:c>
      <x:c r="H3" s="16" t="str">
        <x:v>Approval Gate</x:v>
      </x:c>
      <x:c r="I3" s="16" t="str">
        <x:v>KPI</x:v>
      </x:c>
      <x:c r="J3" s="16" t="str">
        <x:v>Status</x:v>
      </x:c>
    </x:row>
    <x:row r="4">
      <x:c r="A4" s="22" t="str">
        <x:v>Website/SEO</x:v>
      </x:c>
      <x:c r="B4" s="22" t="str"/>
      <x:c r="C4" s="22" t="str"/>
      <x:c r="D4" s="22" t="str"/>
      <x:c r="E4" s="22" t="str"/>
      <x:c r="F4" s="22" t="str"/>
      <x:c r="G4" s="22" t="str"/>
      <x:c r="H4" s="22" t="str"/>
      <x:c r="I4" s="22" t="str"/>
      <x:c r="J4" s="22" t="str"/>
    </x:row>
    <x:row r="5">
      <x:c r="A5" s="22" t="str">
        <x:v>Google Business/Profile</x:v>
      </x:c>
      <x:c r="B5" s="22" t="str"/>
      <x:c r="C5" s="22" t="str"/>
      <x:c r="D5" s="22" t="str"/>
      <x:c r="E5" s="22" t="str"/>
      <x:c r="F5" s="22" t="str"/>
      <x:c r="G5" s="22" t="str"/>
      <x:c r="H5" s="22" t="str"/>
      <x:c r="I5" s="22" t="str"/>
      <x:c r="J5" s="22" t="str"/>
    </x:row>
    <x:row r="6">
      <x:c r="A6" s="22" t="str">
        <x:v>TikTok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>
      <x:c r="A7" s="22" t="str">
        <x:v>Instagram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>
      <x:c r="A8" s="22" t="str">
        <x:v>Facebook</x:v>
      </x:c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>
      <x:c r="A9" s="22" t="str">
        <x:v>YouTube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>
      <x:c r="A10" s="22" t="str">
        <x:v>LinkedIn</x:v>
      </x:c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>
      <x:c r="A11" s="22" t="str">
        <x:v>X</x:v>
      </x:c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>
      <x:c r="A12" s="22" t="str">
        <x:v>Email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>
      <x:c r="A13" s="22" t="str">
        <x:v>SMS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>
      <x:c r="A14" s="22" t="str">
        <x:v>Partnerships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>
      <x:c r="A15" s="22" t="str">
        <x:v>Outbound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</x:row>
  </x:sheetData>
  <x:dataValidations count="1">
    <x:dataValidation type="list" sqref="J4:J30">
      <x:formula1>"Not Started,In Progress,Blocked,Needs Approval,Approved,Done"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01603b435e4a8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5" hidden="0" customWidth="1"/>
    <x:col min="4" max="4" width="38" hidden="0" customWidth="1"/>
    <x:col min="5" max="5" width="30" hidden="0" customWidth="1"/>
    <x:col min="6" max="6" width="38" hidden="0" customWidth="1"/>
    <x:col min="7" max="7" width="38" hidden="0" customWidth="1"/>
    <x:col min="8" max="8" width="28" hidden="0" customWidth="1"/>
    <x:col min="9" max="9" width="30" hidden="0" customWidth="1"/>
    <x:col min="10" max="10" width="36" hidden="0" customWidth="1"/>
    <x:col min="11" max="11" width="16" hidden="0" customWidth="1"/>
  </x:cols>
  <x:sheetData>
    <x:row r="1">
      <x:c r="A1" s="6" t="str">
        <x:v>PRODUCTION BRANDING PACK EXAMPLES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</x:row>
    <x:row r="2">
      <x:c r="A2" t="str">
        <x:v>Three visual examples production must match directionally without copying protected brand assets.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s="16" t="str">
        <x:v>Example</x:v>
      </x:c>
      <x:c r="B3" s="16" t="str">
        <x:v>Reference Type</x:v>
      </x:c>
      <x:c r="C3" s="16" t="str">
        <x:v>Reference URL/File</x:v>
      </x:c>
      <x:c r="D3" s="16" t="str">
        <x:v>Visual Traits</x:v>
      </x:c>
      <x:c r="E3" s="16" t="str">
        <x:v>Psychology</x:v>
      </x:c>
      <x:c r="F3" s="16" t="str">
        <x:v>Match Rules</x:v>
      </x:c>
      <x:c r="G3" s="16" t="str">
        <x:v>Differentiation Rules</x:v>
      </x:c>
      <x:c r="H3" s="16" t="str">
        <x:v>Avoid</x:v>
      </x:c>
      <x:c r="I3" s="16" t="str">
        <x:v>Assets Needed</x:v>
      </x:c>
      <x:c r="J3" s="16" t="str">
        <x:v>Production Notes</x:v>
      </x:c>
      <x:c r="K3" s="16" t="str">
        <x:v>Approval</x:v>
      </x:c>
    </x:row>
    <x:row r="4">
      <x:c r="A4" s="22" t="str">
        <x:v>Example 1</x:v>
      </x:c>
      <x:c r="B4" s="22" t="str">
        <x:v>URL / screenshot / reference brand</x:v>
      </x:c>
      <x:c r="C4" s="22" t="str"/>
      <x:c r="D4" s="22" t="str">
        <x:v>Colors, typography, layout, interaction, emotional tone</x:v>
      </x:c>
      <x:c r="E4" s="22" t="str"/>
      <x:c r="F4" s="22" t="str">
        <x:v>What to match</x:v>
      </x:c>
      <x:c r="G4" s="22" t="str"/>
      <x:c r="H4" s="22" t="str">
        <x:v>What to avoid</x:v>
      </x:c>
      <x:c r="I4" s="22" t="str"/>
      <x:c r="J4" s="22" t="str">
        <x:v>Production asset requirements</x:v>
      </x:c>
      <x:c r="K4" s="22" t="str"/>
    </x:row>
    <x:row r="5">
      <x:c r="A5" s="22" t="str">
        <x:v>Example 2</x:v>
      </x:c>
      <x:c r="B5" s="22" t="str">
        <x:v>URL / screenshot / reference brand</x:v>
      </x:c>
      <x:c r="C5" s="22" t="str"/>
      <x:c r="D5" s="22" t="str">
        <x:v>Colors, typography, layout, interaction, emotional tone</x:v>
      </x:c>
      <x:c r="E5" s="22" t="str"/>
      <x:c r="F5" s="22" t="str">
        <x:v>What to match</x:v>
      </x:c>
      <x:c r="G5" s="22" t="str"/>
      <x:c r="H5" s="22" t="str">
        <x:v>What to avoid</x:v>
      </x:c>
      <x:c r="I5" s="22" t="str"/>
      <x:c r="J5" s="22" t="str">
        <x:v>Production asset requirements</x:v>
      </x:c>
      <x:c r="K5" s="22" t="str"/>
    </x:row>
    <x:row r="6">
      <x:c r="A6" s="22" t="str">
        <x:v>Example 3</x:v>
      </x:c>
      <x:c r="B6" s="22" t="str">
        <x:v>URL / screenshot / reference brand</x:v>
      </x:c>
      <x:c r="C6" s="22" t="str"/>
      <x:c r="D6" s="22" t="str">
        <x:v>Colors, typography, layout, interaction, emotional tone</x:v>
      </x:c>
      <x:c r="E6" s="22" t="str"/>
      <x:c r="F6" s="22" t="str">
        <x:v>What to match</x:v>
      </x:c>
      <x:c r="G6" s="22" t="str"/>
      <x:c r="H6" s="22" t="str">
        <x:v>What to avoid</x:v>
      </x:c>
      <x:c r="I6" s="22" t="str"/>
      <x:c r="J6" s="22" t="str">
        <x:v>Production asset requirements</x:v>
      </x:c>
      <x:c r="K6" s="22" t="str"/>
    </x:row>
  </x:sheetData>
  <x:pageMargins left="0.7" right="0.7" top="0.75" bottom="0.75" header="0.3" footer="0.3"/>
  <x:tableParts count="1">
    <x:tablePart xmlns:r="http://schemas.openxmlformats.org/officeDocument/2006/relationships" r:id="Rda355400ecc44cd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35" hidden="0" customWidth="1"/>
    <x:col min="5" max="5" width="35" hidden="0" customWidth="1"/>
    <x:col min="6" max="6" width="45" hidden="0" customWidth="1"/>
  </x:cols>
  <x:sheetData>
    <x:row r="1">
      <x:c r="A1" s="6" t="str">
        <x:v>BUSINESS + STRATEGY PLAN</x:v>
      </x:c>
      <x:c r="B1" s="6" t="str"/>
      <x:c r="C1" s="6" t="str"/>
      <x:c r="D1" s="6" t="str"/>
      <x:c r="E1" s="6" t="str"/>
      <x:c r="F1" s="6" t="str"/>
    </x:row>
    <x:row r="2">
      <x:c r="A2" t="str">
        <x:v>Decision-ready business plan for the system-in-a-box.</x:v>
      </x:c>
      <x:c r="B2" t="str"/>
      <x:c r="C2" t="str"/>
      <x:c r="D2" t="str"/>
      <x:c r="E2" t="str"/>
      <x:c r="F2" t="str"/>
    </x:row>
    <x:row r="3">
      <x:c r="A3" s="16" t="str">
        <x:v>Section</x:v>
      </x:c>
      <x:c r="B3" s="16" t="str">
        <x:v>Verified Inputs</x:v>
      </x:c>
      <x:c r="C3" s="16" t="str">
        <x:v>Inferred Strategy</x:v>
      </x:c>
      <x:c r="D3" s="16" t="str">
        <x:v>Could Not Verify</x:v>
      </x:c>
      <x:c r="E3" s="16" t="str">
        <x:v>Decision Needed</x:v>
      </x:c>
      <x:c r="F3" s="16" t="str">
        <x:v>Final Recommendation</x:v>
      </x:c>
    </x:row>
    <x:row r="4">
      <x:c r="A4" s="22" t="str">
        <x:v>Executive Summary</x:v>
      </x:c>
      <x:c r="B4" s="22" t="str"/>
      <x:c r="C4" s="22" t="str"/>
      <x:c r="D4" s="22" t="str"/>
      <x:c r="E4" s="22" t="str"/>
      <x:c r="F4" s="22" t="str"/>
    </x:row>
    <x:row r="5">
      <x:c r="A5" s="22" t="str">
        <x:v>Market Problem</x:v>
      </x:c>
      <x:c r="B5" s="22" t="str"/>
      <x:c r="C5" s="22" t="str"/>
      <x:c r="D5" s="22" t="str"/>
      <x:c r="E5" s="22" t="str"/>
      <x:c r="F5" s="22" t="str"/>
    </x:row>
    <x:row r="6">
      <x:c r="A6" s="22" t="str">
        <x:v>Target Customer</x:v>
      </x:c>
      <x:c r="B6" s="22" t="str"/>
      <x:c r="C6" s="22" t="str"/>
      <x:c r="D6" s="22" t="str"/>
      <x:c r="E6" s="22" t="str"/>
      <x:c r="F6" s="22" t="str"/>
    </x:row>
    <x:row r="7">
      <x:c r="A7" s="22" t="str">
        <x:v>Offer Stack</x:v>
      </x:c>
      <x:c r="B7" s="22" t="str"/>
      <x:c r="C7" s="22" t="str"/>
      <x:c r="D7" s="22" t="str"/>
      <x:c r="E7" s="22" t="str"/>
      <x:c r="F7" s="22" t="str"/>
    </x:row>
    <x:row r="8">
      <x:c r="A8" s="22" t="str">
        <x:v>Competitive Positioning</x:v>
      </x:c>
      <x:c r="B8" s="22" t="str"/>
      <x:c r="C8" s="22" t="str"/>
      <x:c r="D8" s="22" t="str"/>
      <x:c r="E8" s="22" t="str"/>
      <x:c r="F8" s="22" t="str"/>
    </x:row>
    <x:row r="9">
      <x:c r="A9" s="22" t="str">
        <x:v>Pricing Strategy</x:v>
      </x:c>
      <x:c r="B9" s="22" t="str"/>
      <x:c r="C9" s="22" t="str"/>
      <x:c r="D9" s="22" t="str"/>
      <x:c r="E9" s="22" t="str"/>
      <x:c r="F9" s="22" t="str"/>
    </x:row>
    <x:row r="10">
      <x:c r="A10" s="22" t="str">
        <x:v>Acquisition Strategy</x:v>
      </x:c>
      <x:c r="B10" s="22" t="str"/>
      <x:c r="C10" s="22" t="str"/>
      <x:c r="D10" s="22" t="str"/>
      <x:c r="E10" s="22" t="str"/>
      <x:c r="F10" s="22" t="str"/>
    </x:row>
    <x:row r="11">
      <x:c r="A11" s="22" t="str">
        <x:v>Fulfillment Strategy</x:v>
      </x:c>
      <x:c r="B11" s="22" t="str"/>
      <x:c r="C11" s="22" t="str"/>
      <x:c r="D11" s="22" t="str"/>
      <x:c r="E11" s="22" t="str"/>
      <x:c r="F11" s="22" t="str"/>
    </x:row>
    <x:row r="12">
      <x:c r="A12" s="22" t="str">
        <x:v>Retention Strategy</x:v>
      </x:c>
      <x:c r="B12" s="22" t="str"/>
      <x:c r="C12" s="22" t="str"/>
      <x:c r="D12" s="22" t="str"/>
      <x:c r="E12" s="22" t="str"/>
      <x:c r="F12" s="22" t="str"/>
    </x:row>
    <x:row r="13">
      <x:c r="A13" s="22" t="str">
        <x:v>Operations Plan</x:v>
      </x:c>
      <x:c r="B13" s="22" t="str"/>
      <x:c r="C13" s="22" t="str"/>
      <x:c r="D13" s="22" t="str"/>
      <x:c r="E13" s="22" t="str"/>
      <x:c r="F13" s="22" t="str"/>
    </x:row>
    <x:row r="14">
      <x:c r="A14" s="22" t="str">
        <x:v>Risk Plan</x:v>
      </x:c>
      <x:c r="B14" s="22" t="str"/>
      <x:c r="C14" s="22" t="str"/>
      <x:c r="D14" s="22" t="str"/>
      <x:c r="E14" s="22" t="str"/>
      <x:c r="F14" s="22" t="str"/>
    </x:row>
    <x:row r="15">
      <x:c r="A15" s="22" t="str">
        <x:v>Financial Model</x:v>
      </x:c>
      <x:c r="B15" s="22" t="str"/>
      <x:c r="C15" s="22" t="str"/>
      <x:c r="D15" s="22" t="str"/>
      <x:c r="E15" s="22" t="str"/>
      <x:c r="F15" s="22" t="str"/>
    </x:row>
    <x:row r="16">
      <x:c r="A16" s="22" t="str">
        <x:v>Decision Criteria</x:v>
      </x:c>
      <x:c r="B16" s="22" t="str"/>
      <x:c r="C16" s="22" t="str"/>
      <x:c r="D16" s="22" t="str"/>
      <x:c r="E16" s="22" t="str"/>
      <x:c r="F16" s="22" t="str"/>
    </x:row>
  </x:sheetData>
  <x:pageMargins left="0.7" right="0.7" top="0.75" bottom="0.75" header="0.3" footer="0.3"/>
  <x:tableParts count="1">
    <x:tablePart xmlns:r="http://schemas.openxmlformats.org/officeDocument/2006/relationships" r:id="Rcbc8a6a2e2bd468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45" hidden="0" customWidth="1"/>
    <x:col min="4" max="4" width="50" hidden="0" customWidth="1"/>
  </x:cols>
  <x:sheetData>
    <x:row r="1">
      <x:c r="A1" s="6" t="str">
        <x:v>PSYCHOLOGY + GROWTH MODEL</x:v>
      </x:c>
      <x:c r="B1" s="6" t="str"/>
      <x:c r="C1" s="6" t="str"/>
      <x:c r="D1" s="6" t="str"/>
    </x:row>
    <x:row r="2">
      <x:c r="A2" t="str">
        <x:v>Ethical conversion psychology and growth mechanics.</x:v>
      </x:c>
      <x:c r="B2" t="str"/>
      <x:c r="C2" t="str"/>
      <x:c r="D2" t="str"/>
    </x:row>
    <x:row r="3">
      <x:c r="A3" s="16" t="str">
        <x:v>Area</x:v>
      </x:c>
      <x:c r="B3" s="16" t="str">
        <x:v>Inputs</x:v>
      </x:c>
      <x:c r="C3" s="16" t="str">
        <x:v>Application</x:v>
      </x:c>
      <x:c r="D3" s="16" t="str">
        <x:v>Notes</x:v>
      </x:c>
    </x:row>
    <x:row r="4">
      <x:c r="A4" s="22" t="str">
        <x:v>Buyer Awareness</x:v>
      </x:c>
      <x:c r="B4" s="22" t="str">
        <x:v>Unaware / Problem Aware / Solution Aware / Product Aware / Most Aware</x:v>
      </x:c>
      <x:c r="C4" s="22" t="str"/>
      <x:c r="D4" s="22" t="str">
        <x:v>Messaging angle</x:v>
      </x:c>
    </x:row>
    <x:row r="5">
      <x:c r="A5" s="22" t="str">
        <x:v>Pain Drivers</x:v>
      </x:c>
      <x:c r="B5" s="22" t="str"/>
      <x:c r="C5" s="22" t="str"/>
      <x:c r="D5" s="22" t="str"/>
    </x:row>
    <x:row r="6">
      <x:c r="A6" s="22" t="str">
        <x:v>Desire Drivers</x:v>
      </x:c>
      <x:c r="B6" s="22" t="str"/>
      <x:c r="C6" s="22" t="str"/>
      <x:c r="D6" s="22" t="str"/>
    </x:row>
    <x:row r="7">
      <x:c r="A7" s="22" t="str">
        <x:v>Trust Builders</x:v>
      </x:c>
      <x:c r="B7" s="22" t="str"/>
      <x:c r="C7" s="22" t="str"/>
      <x:c r="D7" s="22" t="str"/>
    </x:row>
    <x:row r="8">
      <x:c r="A8" s="22" t="str">
        <x:v>Objection Map</x:v>
      </x:c>
      <x:c r="B8" s="22" t="str"/>
      <x:c r="C8" s="22" t="str"/>
      <x:c r="D8" s="22" t="str"/>
    </x:row>
    <x:row r="9">
      <x:c r="A9" s="22" t="str">
        <x:v>Conversion Triggers</x:v>
      </x:c>
      <x:c r="B9" s="22" t="str"/>
      <x:c r="C9" s="22" t="str"/>
      <x:c r="D9" s="22" t="str"/>
    </x:row>
    <x:row r="10">
      <x:c r="A10" s="22" t="str">
        <x:v>Retention Psychology</x:v>
      </x:c>
      <x:c r="B10" s="22" t="str"/>
      <x:c r="C10" s="22" t="str"/>
      <x:c r="D10" s="22" t="str"/>
    </x:row>
    <x:row r="11">
      <x:c r="A11" s="22" t="str">
        <x:v>Referral Psychology</x:v>
      </x:c>
      <x:c r="B11" s="22" t="str"/>
      <x:c r="C11" s="22" t="str"/>
      <x:c r="D11" s="22" t="str"/>
    </x:row>
    <x:row r="12">
      <x:c r="A12" s="22" t="str">
        <x:v>Ethical Guardrail</x:v>
      </x:c>
      <x:c r="B12" s="22" t="str">
        <x:v>No manipulation, deception, false scarcity, unsupported claims, or illegal targeting.</x:v>
      </x:c>
      <x:c r="C12" s="22" t="str"/>
      <x:c r="D12" s="22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9efc1982832f41f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0" hidden="0" customWidth="1"/>
    <x:col min="3" max="3" width="26" hidden="0" customWidth="1"/>
    <x:col min="4" max="4" width="35" hidden="0" customWidth="1"/>
    <x:col min="5" max="5" width="35" hidden="0" customWidth="1"/>
    <x:col min="6" max="6" width="24" hidden="0" customWidth="1"/>
  </x:cols>
  <x:sheetData>
    <x:row r="1">
      <x:c r="A1" s="6" t="str">
        <x:v>1 DAY / 1 WEEK / 1 MONTH / 6 MONTH / 1 YEAR / 3 YEAR ROADMAP</x:v>
      </x:c>
      <x:c r="B1" s="6" t="str"/>
      <x:c r="C1" s="6" t="str"/>
      <x:c r="D1" s="6" t="str"/>
      <x:c r="E1" s="6" t="str"/>
      <x:c r="F1" s="6" t="str"/>
    </x:row>
    <x:row r="2">
      <x:c r="A2" t="str">
        <x:v>Operational, financial, social, and system maturity targets.</x:v>
      </x:c>
      <x:c r="B2" t="str"/>
      <x:c r="C2" t="str"/>
      <x:c r="D2" t="str"/>
      <x:c r="E2" t="str"/>
      <x:c r="F2" t="str"/>
    </x:row>
    <x:row r="3">
      <x:c r="A3" s="16" t="str">
        <x:v>Time Horizon</x:v>
      </x:c>
      <x:c r="B3" s="16" t="str">
        <x:v>System Milestone</x:v>
      </x:c>
      <x:c r="C3" s="16" t="str">
        <x:v>Financial Goal</x:v>
      </x:c>
      <x:c r="D3" s="16" t="str">
        <x:v>Social/Lead Goal</x:v>
      </x:c>
      <x:c r="E3" s="16" t="str">
        <x:v>Governance Goal</x:v>
      </x:c>
      <x:c r="F3" s="16" t="str">
        <x:v>Owner/Status</x:v>
      </x:c>
    </x:row>
    <x:row r="4">
      <x:c r="A4" s="22" t="str">
        <x:v>1 Day</x:v>
      </x:c>
      <x:c r="B4" s="22" t="str">
        <x:v>Define scope, intake, source truth, benchmark query plan, repo/project setup checklist</x:v>
      </x:c>
      <x:c r="C4" s="22" t="str"/>
      <x:c r="D4" s="22" t="str"/>
      <x:c r="E4" s="22" t="str"/>
      <x:c r="F4" s="22" t="str"/>
    </x:row>
    <x:row r="5">
      <x:c r="A5" s="22" t="str">
        <x:v>1 Week</x:v>
      </x:c>
      <x:c r="B5" s="22" t="str">
        <x:v>Complete top 3 benchmark, legal/IP filter, MVP spec, stack map, credential register, sandbox plan</x:v>
      </x:c>
      <x:c r="C5" s="22" t="str"/>
      <x:c r="D5" s="22" t="str"/>
      <x:c r="E5" s="22" t="str"/>
      <x:c r="F5" s="22" t="str"/>
    </x:row>
    <x:row r="6">
      <x:c r="A6" s="22" t="str">
        <x:v>1 Month</x:v>
      </x:c>
      <x:c r="B6" s="22" t="str">
        <x:v>Build MVP, QA gates, lead-gen engine, dashboard, docs, release candidate</x:v>
      </x:c>
      <x:c r="C6" s="22" t="str"/>
      <x:c r="D6" s="22" t="str"/>
      <x:c r="E6" s="22" t="str"/>
      <x:c r="F6" s="22" t="str"/>
    </x:row>
    <x:row r="7">
      <x:c r="A7" s="22" t="str">
        <x:v>6 Months</x:v>
      </x:c>
      <x:c r="B7" s="22" t="str">
        <x:v>Scale automations, content engine, conversion optimization, reporting, integrations, governance maturity</x:v>
      </x:c>
      <x:c r="C7" s="22" t="str"/>
      <x:c r="D7" s="22" t="str"/>
      <x:c r="E7" s="22" t="str"/>
      <x:c r="F7" s="22" t="str"/>
    </x:row>
    <x:row r="8">
      <x:c r="A8" s="22" t="str">
        <x:v>1 Year</x:v>
      </x:c>
      <x:c r="B8" s="22" t="str">
        <x:v>Harden platform, expand offers/channels, profitability targets, customer success loops, operating dashboards</x:v>
      </x:c>
      <x:c r="C8" s="22" t="str"/>
      <x:c r="D8" s="22" t="str"/>
      <x:c r="E8" s="22" t="str"/>
      <x:c r="F8" s="22" t="str"/>
    </x:row>
    <x:row r="9">
      <x:c r="A9" s="22" t="str">
        <x:v>3 Years</x:v>
      </x:c>
      <x:c r="B9" s="22" t="str">
        <x:v>Autonomous portfolio operating system, compounding data advantage, durable brand, scalable revenue engine</x:v>
      </x:c>
      <x:c r="C9" s="22" t="str"/>
      <x:c r="D9" s="22" t="str"/>
      <x:c r="E9" s="22" t="str"/>
      <x:c r="F9" s="22" t="str"/>
    </x:row>
  </x:sheetData>
  <x:pageMargins left="0.7" right="0.7" top="0.75" bottom="0.75" header="0.3" footer="0.3"/>
  <x:tableParts count="1">
    <x:tablePart xmlns:r="http://schemas.openxmlformats.org/officeDocument/2006/relationships" r:id="R13ced18ed77b45c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FINANCIAL + GROWTH MODEL</x:v>
      </x:c>
      <x:c r="B1" s="6" t="str"/>
      <x:c r="C1" s="6" t="str"/>
      <x:c r="D1" s="6" t="str"/>
      <x:c r="E1" s="6" t="str"/>
      <x:c r="F1" s="6" t="str"/>
      <x:c r="G1" s="6" t="str"/>
      <x:c r="H1" s="6" t="str"/>
    </x:row>
    <x:row r="2">
      <x:c r="A2" t="str">
        <x:v>Goal model by time horizon.</x:v>
      </x:c>
      <x:c r="B2" t="str"/>
      <x:c r="C2" t="str"/>
      <x:c r="D2" t="str"/>
      <x:c r="E2" t="str"/>
      <x:c r="F2" t="str"/>
      <x:c r="G2" t="str"/>
      <x:c r="H2" t="str"/>
    </x:row>
    <x:row r="3">
      <x:c r="A3" s="16" t="str">
        <x:v>Category</x:v>
      </x:c>
      <x:c r="B3" s="16" t="str">
        <x:v>Metric</x:v>
      </x:c>
      <x:c r="C3" s="16" t="str">
        <x:v>1 Day</x:v>
      </x:c>
      <x:c r="D3" s="16" t="str">
        <x:v>1 Week</x:v>
      </x:c>
      <x:c r="E3" s="16" t="str">
        <x:v>1 Month</x:v>
      </x:c>
      <x:c r="F3" s="16" t="str">
        <x:v>6 Months</x:v>
      </x:c>
      <x:c r="G3" s="16" t="str">
        <x:v>1 Year</x:v>
      </x:c>
      <x:c r="H3" s="16" t="str">
        <x:v>3 Years</x:v>
      </x:c>
    </x:row>
    <x:row r="4">
      <x:c r="A4" s="22" t="str">
        <x:v>Revenue</x:v>
      </x:c>
      <x:c r="B4" s="22" t="str">
        <x:v>Monthly revenue goal</x:v>
      </x:c>
      <x:c r="C4" s="22" t="n">
        <x:v>0</x:v>
      </x:c>
      <x:c r="D4" s="22" t="n">
        <x:v>0</x:v>
      </x:c>
      <x:c r="E4" s="22" t="n">
        <x:v>0</x:v>
      </x:c>
      <x:c r="F4" s="22" t="n">
        <x:v>0</x:v>
      </x:c>
      <x:c r="G4" s="22" t="n">
        <x:v>0</x:v>
      </x:c>
      <x:c r="H4" s="22" t="n">
        <x:v>0</x:v>
      </x:c>
    </x:row>
    <x:row r="5">
      <x:c r="A5" s="22" t="str">
        <x:v>Costs</x:v>
      </x:c>
      <x:c r="B5" s="22" t="str">
        <x:v>Tools/software</x:v>
      </x:c>
      <x:c r="C5" s="22" t="n">
        <x:v>0</x:v>
      </x:c>
      <x:c r="D5" s="22" t="n">
        <x:v>0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</x:row>
    <x:row r="6">
      <x:c r="A6" s="22" t="str">
        <x:v>Costs</x:v>
      </x:c>
      <x:c r="B6" s="22" t="str">
        <x:v>Ad spend</x:v>
      </x:c>
      <x:c r="C6" s="22" t="n">
        <x:v>0</x:v>
      </x:c>
      <x:c r="D6" s="22" t="n">
        <x:v>0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</x:row>
    <x:row r="7">
      <x:c r="A7" s="22" t="str">
        <x:v>Costs</x:v>
      </x:c>
      <x:c r="B7" s="22" t="str">
        <x:v>Labor/contractors</x:v>
      </x:c>
      <x:c r="C7" s="22" t="n">
        <x:v>0</x:v>
      </x:c>
      <x:c r="D7" s="22" t="n">
        <x:v>0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</x:row>
    <x:row r="8">
      <x:c r="A8" s="22" t="str">
        <x:v>Margin</x:v>
      </x:c>
      <x:c r="B8" s="22" t="str">
        <x:v>Gross margin %</x:v>
      </x:c>
      <x:c r="C8" s="22" t="n">
        <x:v>0</x:v>
      </x:c>
      <x:c r="D8" s="22" t="n">
        <x:v>0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</x:row>
    <x:row r="9">
      <x:c r="A9" s="22" t="str">
        <x:v>Leads</x:v>
      </x:c>
      <x:c r="B9" s="22" t="str">
        <x:v>Lead volume</x:v>
      </x:c>
      <x:c r="C9" s="22" t="n">
        <x:v>0</x:v>
      </x:c>
      <x:c r="D9" s="22" t="n">
        <x:v>0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</x:row>
    <x:row r="10">
      <x:c r="A10" s="22" t="str">
        <x:v>Conversion</x:v>
      </x:c>
      <x:c r="B10" s="22" t="str">
        <x:v>Close/conversion rate</x:v>
      </x:c>
      <x:c r="C10" s="22" t="n">
        <x:v>0</x:v>
      </x:c>
      <x:c r="D10" s="22" t="n">
        <x:v>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</x:row>
    <x:row r="11">
      <x:c r="A11" s="22" t="str">
        <x:v>AOV</x:v>
      </x:c>
      <x:c r="B11" s="22" t="str">
        <x:v>Average order value</x:v>
      </x:c>
      <x:c r="C11" s="22" t="n">
        <x:v>0</x:v>
      </x:c>
      <x:c r="D11" s="22" t="n">
        <x:v>0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fd9081060244d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5" hidden="0" customWidth="1"/>
    <x:col min="4" max="4" width="35" hidden="0" customWidth="1"/>
  </x:cols>
  <x:sheetData>
    <x:row r="1">
      <x:c r="A1" s="6" t="str">
        <x:v>GOVERNANCE + QA GATES</x:v>
      </x:c>
      <x:c r="B1" s="6" t="str"/>
      <x:c r="C1" s="6" t="str"/>
      <x:c r="D1" s="6" t="str"/>
    </x:row>
    <x:row r="2">
      <x:c r="A2" t="str">
        <x:v>Release gates for governed Auto Builder systems.</x:v>
      </x:c>
      <x:c r="B2" t="str"/>
      <x:c r="C2" t="str"/>
      <x:c r="D2" t="str"/>
    </x:row>
    <x:row r="3">
      <x:c r="A3" s="16" t="str">
        <x:v>Gate</x:v>
      </x:c>
      <x:c r="B3" s="16" t="str">
        <x:v>Pass Criteria</x:v>
      </x:c>
      <x:c r="C3" s="16" t="str">
        <x:v>Approval Requirement</x:v>
      </x:c>
      <x:c r="D3" s="16" t="str">
        <x:v>Status/Evidence</x:v>
      </x:c>
    </x:row>
    <x:row r="4">
      <x:c r="A4" s="22" t="str">
        <x:v>Research Gate</x:v>
      </x:c>
      <x:c r="B4" s="22" t="str">
        <x:v>Source truth logged, no unsupported claims, top 3 comparable systems cited</x:v>
      </x:c>
      <x:c r="C4" s="22" t="str">
        <x:v>Human approval if public claims used</x:v>
      </x:c>
      <x:c r="D4" s="22" t="str"/>
    </x:row>
    <x:row r="5">
      <x:c r="A5" s="22" t="str">
        <x:v>Legal/IP Gate</x:v>
      </x:c>
      <x:c r="B5" s="22" t="str">
        <x:v>No copying protected IP/brand/code/trade dress; uncertain items marked legal review</x:v>
      </x:c>
      <x:c r="C5" s="22" t="str">
        <x:v>Human/legal review if uncertain</x:v>
      </x:c>
      <x:c r="D5" s="22" t="str"/>
    </x:row>
    <x:row r="6">
      <x:c r="A6" s="22" t="str">
        <x:v>Build Gate</x:v>
      </x:c>
      <x:c r="B6" s="22" t="str">
        <x:v>Repo, schema, env plan, backlog, acceptance tests ready</x:v>
      </x:c>
      <x:c r="C6" s="22" t="str">
        <x:v>Owner approval</x:v>
      </x:c>
      <x:c r="D6" s="22" t="str"/>
    </x:row>
    <x:row r="7">
      <x:c r="A7" s="22" t="str">
        <x:v>Sandbox Gate</x:v>
      </x:c>
      <x:c r="B7" s="22" t="str">
        <x:v>Preview deploy passes tests, logs work, rollback tested</x:v>
      </x:c>
      <x:c r="C7" s="22" t="str">
        <x:v>Technical approval</x:v>
      </x:c>
      <x:c r="D7" s="22" t="str"/>
    </x:row>
    <x:row r="8">
      <x:c r="A8" s="22" t="str">
        <x:v>Content Gate</x:v>
      </x:c>
      <x:c r="B8" s="22" t="str">
        <x:v>Posts/ads/emails reviewed for claims, compliance, brand fit</x:v>
      </x:c>
      <x:c r="C8" s="22" t="str">
        <x:v>Marketing approval</x:v>
      </x:c>
      <x:c r="D8" s="22" t="str"/>
    </x:row>
    <x:row r="9">
      <x:c r="A9" s="22" t="str">
        <x:v>Commerce Gate</x:v>
      </x:c>
      <x:c r="B9" s="22" t="str">
        <x:v>Shopify products/pricing/checkout/order logic validated</x:v>
      </x:c>
      <x:c r="C9" s="22" t="str">
        <x:v>Commerce owner approval</x:v>
      </x:c>
      <x:c r="D9" s="22" t="str"/>
    </x:row>
    <x:row r="10">
      <x:c r="A10" s="22" t="str">
        <x:v>Release Gate</x:v>
      </x:c>
      <x:c r="B10" s="22" t="str">
        <x:v>QA pass, monitoring, rollback, handoff docs complete</x:v>
      </x:c>
      <x:c r="C10" s="22" t="str">
        <x:v>Final human approval</x:v>
      </x:c>
      <x:c r="D10" s="22" t="str"/>
    </x:row>
    <x:row r="11">
      <x:c r="A11" s="22" t="str">
        <x:v>Autonomy Gate</x:v>
      </x:c>
      <x:c r="B11" s="22" t="str">
        <x:v>Autonomous actions bounded by permission policy and logs</x:v>
      </x:c>
      <x:c r="C11" s="22" t="str">
        <x:v>Owner approval</x:v>
      </x:c>
      <x:c r="D11" s="22" t="str"/>
    </x:row>
  </x:sheetData>
  <x:dataValidations count="1">
    <x:dataValidation type="list" sqref="D4:D20">
      <x:formula1>"Not Started,In Progress,Blocked,Needs Approval,Approved,Done"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e736ce6c64207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5" hidden="0" customWidth="1"/>
    <x:col min="4" max="4" width="40" hidden="0" customWidth="1"/>
    <x:col min="5" max="5" width="18" hidden="0" customWidth="1"/>
    <x:col min="6" max="6" width="16" hidden="0" customWidth="1"/>
  </x:cols>
  <x:sheetData>
    <x:row r="1">
      <x:c r="A1" s="6" t="str">
        <x:v>VALIDATION TEST PLAN</x:v>
      </x:c>
      <x:c r="B1" s="6" t="str"/>
      <x:c r="C1" s="6" t="str"/>
      <x:c r="D1" s="6" t="str"/>
      <x:c r="E1" s="6" t="str"/>
      <x:c r="F1" s="6" t="str"/>
    </x:row>
    <x:row r="2">
      <x:c r="A2" t="str">
        <x:v>Required testing before production release.</x:v>
      </x:c>
      <x:c r="B2" t="str"/>
      <x:c r="C2" t="str"/>
      <x:c r="D2" t="str"/>
      <x:c r="E2" t="str"/>
      <x:c r="F2" t="str"/>
    </x:row>
    <x:row r="3">
      <x:c r="A3" s="16" t="str">
        <x:v>Test</x:v>
      </x:c>
      <x:c r="B3" s="16" t="str">
        <x:v>Method</x:v>
      </x:c>
      <x:c r="C3" s="16" t="str">
        <x:v>Expected Result</x:v>
      </x:c>
      <x:c r="D3" s="16" t="str">
        <x:v>Evidence Location</x:v>
      </x:c>
      <x:c r="E3" s="16" t="str">
        <x:v>Owner</x:v>
      </x:c>
      <x:c r="F3" s="16" t="str">
        <x:v>Status</x:v>
      </x:c>
    </x:row>
    <x:row r="4">
      <x:c r="A4" s="22" t="str">
        <x:v>Source citation test</x:v>
      </x:c>
      <x:c r="B4" s="22" t="str"/>
      <x:c r="C4" s="22" t="str"/>
      <x:c r="D4" s="22" t="str"/>
      <x:c r="E4" s="22" t="str"/>
      <x:c r="F4" s="22" t="str"/>
    </x:row>
    <x:row r="5">
      <x:c r="A5" s="22" t="str">
        <x:v>IP/legal safety test</x:v>
      </x:c>
      <x:c r="B5" s="22" t="str"/>
      <x:c r="C5" s="22" t="str"/>
      <x:c r="D5" s="22" t="str"/>
      <x:c r="E5" s="22" t="str"/>
      <x:c r="F5" s="22" t="str"/>
    </x:row>
    <x:row r="6">
      <x:c r="A6" s="22" t="str">
        <x:v>Intake completeness test</x:v>
      </x:c>
      <x:c r="B6" s="22" t="str"/>
      <x:c r="C6" s="22" t="str"/>
      <x:c r="D6" s="22" t="str"/>
      <x:c r="E6" s="22" t="str"/>
      <x:c r="F6" s="22" t="str"/>
    </x:row>
    <x:row r="7">
      <x:c r="A7" s="22" t="str">
        <x:v>Benchmark score formula test</x:v>
      </x:c>
      <x:c r="B7" s="22" t="str"/>
      <x:c r="C7" s="22" t="str"/>
      <x:c r="D7" s="22" t="str"/>
      <x:c r="E7" s="22" t="str"/>
      <x:c r="F7" s="22" t="str"/>
    </x:row>
    <x:row r="8">
      <x:c r="A8" s="22" t="str">
        <x:v>10% enhancement test</x:v>
      </x:c>
      <x:c r="B8" s="22" t="str"/>
      <x:c r="C8" s="22" t="str"/>
      <x:c r="D8" s="22" t="str"/>
      <x:c r="E8" s="22" t="str"/>
      <x:c r="F8" s="22" t="str"/>
    </x:row>
    <x:row r="9">
      <x:c r="A9" s="22" t="str">
        <x:v>Prompt consistency test</x:v>
      </x:c>
      <x:c r="B9" s="22" t="str"/>
      <x:c r="C9" s="22" t="str"/>
      <x:c r="D9" s="22" t="str"/>
      <x:c r="E9" s="22" t="str"/>
      <x:c r="F9" s="22" t="str"/>
    </x:row>
    <x:row r="10">
      <x:c r="A10" s="22" t="str">
        <x:v>Supabase schema test</x:v>
      </x:c>
      <x:c r="B10" s="22" t="str"/>
      <x:c r="C10" s="22" t="str"/>
      <x:c r="D10" s="22" t="str"/>
      <x:c r="E10" s="22" t="str"/>
      <x:c r="F10" s="22" t="str"/>
    </x:row>
    <x:row r="11">
      <x:c r="A11" s="22" t="str">
        <x:v>API/env validation test</x:v>
      </x:c>
      <x:c r="B11" s="22" t="str"/>
      <x:c r="C11" s="22" t="str"/>
      <x:c r="D11" s="22" t="str"/>
      <x:c r="E11" s="22" t="str"/>
      <x:c r="F11" s="22" t="str"/>
    </x:row>
    <x:row r="12">
      <x:c r="A12" s="22" t="str">
        <x:v>Frontend route test</x:v>
      </x:c>
      <x:c r="B12" s="22" t="str"/>
      <x:c r="C12" s="22" t="str"/>
      <x:c r="D12" s="22" t="str"/>
      <x:c r="E12" s="22" t="str"/>
      <x:c r="F12" s="22" t="str"/>
    </x:row>
    <x:row r="13">
      <x:c r="A13" s="22" t="str">
        <x:v>Shopify integration test</x:v>
      </x:c>
      <x:c r="B13" s="22" t="str"/>
      <x:c r="C13" s="22" t="str"/>
      <x:c r="D13" s="22" t="str"/>
      <x:c r="E13" s="22" t="str"/>
      <x:c r="F13" s="22" t="str"/>
    </x:row>
    <x:row r="14">
      <x:c r="A14" s="22" t="str">
        <x:v>Social draft QA test</x:v>
      </x:c>
      <x:c r="B14" s="22" t="str"/>
      <x:c r="C14" s="22" t="str"/>
      <x:c r="D14" s="22" t="str"/>
      <x:c r="E14" s="22" t="str"/>
      <x:c r="F14" s="22" t="str"/>
    </x:row>
    <x:row r="15">
      <x:c r="A15" s="22" t="str">
        <x:v>Lead capture test</x:v>
      </x:c>
      <x:c r="B15" s="22" t="str"/>
      <x:c r="C15" s="22" t="str"/>
      <x:c r="D15" s="22" t="str"/>
      <x:c r="E15" s="22" t="str"/>
      <x:c r="F15" s="22" t="str"/>
    </x:row>
    <x:row r="16">
      <x:c r="A16" s="22" t="str">
        <x:v>Rollback test</x:v>
      </x:c>
      <x:c r="B16" s="22" t="str"/>
      <x:c r="C16" s="22" t="str"/>
      <x:c r="D16" s="22" t="str"/>
      <x:c r="E16" s="22" t="str"/>
      <x:c r="F16" s="22" t="str"/>
    </x:row>
    <x:row r="17">
      <x:c r="A17" s="22" t="str">
        <x:v>Monitoring/logging test</x:v>
      </x:c>
      <x:c r="B17" s="22" t="str"/>
      <x:c r="C17" s="22" t="str"/>
      <x:c r="D17" s="22" t="str"/>
      <x:c r="E17" s="22" t="str"/>
      <x:c r="F17" s="22" t="str"/>
    </x:row>
    <x:row r="18">
      <x:c r="A18" s="22" t="str">
        <x:v>Final handoff test</x:v>
      </x:c>
      <x:c r="B18" s="22" t="str"/>
      <x:c r="C18" s="22" t="str"/>
      <x:c r="D18" s="22" t="str"/>
      <x:c r="E18" s="22" t="str"/>
      <x:c r="F18" s="22" t="str"/>
    </x:row>
  </x:sheetData>
  <x:dataValidations count="1">
    <x:dataValidation type="list" sqref="F4:F30">
      <x:formula1>"Not Started,In Progress,Blocked,Needs Approval,Approved,Done"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d1ffae4ca41e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45" hidden="0" customWidth="1"/>
    <x:col min="4" max="4" width="20" hidden="0" customWidth="1"/>
  </x:cols>
  <x:sheetData>
    <x:row r="1">
      <x:c r="A1" s="6" t="str">
        <x:v>IMPLEMENTATION HANDOFF</x:v>
      </x:c>
      <x:c r="B1" s="6" t="str"/>
      <x:c r="C1" s="6" t="str"/>
      <x:c r="D1" s="6" t="str"/>
    </x:row>
    <x:row r="2">
      <x:c r="A2" t="str">
        <x:v>Everything required to move from workbook to build and production.</x:v>
      </x:c>
      <x:c r="B2" t="str"/>
      <x:c r="C2" t="str"/>
      <x:c r="D2" t="str"/>
    </x:row>
    <x:row r="3">
      <x:c r="A3" s="16" t="str">
        <x:v>Area</x:v>
      </x:c>
      <x:c r="B3" s="16" t="str">
        <x:v>Required Contents</x:v>
      </x:c>
      <x:c r="C3" s="16" t="str">
        <x:v>Location/Link</x:v>
      </x:c>
      <x:c r="D3" s="16" t="str">
        <x:v>Status</x:v>
      </x:c>
    </x:row>
    <x:row r="4">
      <x:c r="A4" s="22" t="str">
        <x:v>Repository</x:v>
      </x:c>
      <x:c r="B4" s="22" t="str">
        <x:v>GitHub repo URL, branch strategy, issues, labels, PR rules</x:v>
      </x:c>
      <x:c r="C4" s="22" t="str"/>
      <x:c r="D4" s="22" t="str"/>
    </x:row>
    <x:row r="5">
      <x:c r="A5" s="22" t="str">
        <x:v>Frontend</x:v>
      </x:c>
      <x:c r="B5" s="22" t="str">
        <x:v>Next.js routes, components, design system, dashboard, auth</x:v>
      </x:c>
      <x:c r="C5" s="22" t="str"/>
      <x:c r="D5" s="22" t="str"/>
    </x:row>
    <x:row r="6">
      <x:c r="A6" s="22" t="str">
        <x:v>Backend</x:v>
      </x:c>
      <x:c r="B6" s="22" t="str">
        <x:v>Supabase schema, RLS, queues, logs, jobs, storage</x:v>
      </x:c>
      <x:c r="C6" s="22" t="str"/>
      <x:c r="D6" s="22" t="str"/>
    </x:row>
    <x:row r="7">
      <x:c r="A7" s="22" t="str">
        <x:v>Automation</x:v>
      </x:c>
      <x:c r="B7" s="22" t="str">
        <x:v>Vercel workflows/agents/crons, webhooks, retry policies</x:v>
      </x:c>
      <x:c r="C7" s="22" t="str"/>
      <x:c r="D7" s="22" t="str"/>
    </x:row>
    <x:row r="8">
      <x:c r="A8" s="22" t="str">
        <x:v>Commerce</x:v>
      </x:c>
      <x:c r="B8" s="22" t="str">
        <x:v>Shopify product/order/customer integration if applicable</x:v>
      </x:c>
      <x:c r="C8" s="22" t="str"/>
      <x:c r="D8" s="22" t="str"/>
    </x:row>
    <x:row r="9">
      <x:c r="A9" s="22" t="str">
        <x:v>Social/Lead Gen</x:v>
      </x:c>
      <x:c r="B9" s="22" t="str">
        <x:v>Xyla/Opus/content calendar/lead forms/nurture</x:v>
      </x:c>
      <x:c r="C9" s="22" t="str"/>
      <x:c r="D9" s="22" t="str"/>
    </x:row>
    <x:row r="10">
      <x:c r="A10" s="22" t="str">
        <x:v>Docs</x:v>
      </x:c>
      <x:c r="B10" s="22" t="str">
        <x:v>README, architecture, runbook, troubleshooting, rollback, onboarding</x:v>
      </x:c>
      <x:c r="C10" s="22" t="str"/>
      <x:c r="D10" s="22" t="str"/>
    </x:row>
    <x:row r="11">
      <x:c r="A11" s="22" t="str">
        <x:v>Credentials</x:v>
      </x:c>
      <x:c r="B11" s="22" t="str">
        <x:v>Env vars and owners; never place secrets in workbook plain text</x:v>
      </x:c>
      <x:c r="C11" s="22" t="str"/>
      <x:c r="D11" s="22" t="str"/>
    </x:row>
    <x:row r="12">
      <x:c r="A12" s="22" t="str">
        <x:v>Deployment</x:v>
      </x:c>
      <x:c r="B12" s="22" t="str">
        <x:v>Preview, staging, production domains, release notes</x:v>
      </x:c>
      <x:c r="C12" s="22" t="str"/>
      <x:c r="D12" s="22" t="str"/>
    </x:row>
    <x:row r="13">
      <x:c r="A13" s="22" t="str">
        <x:v>Support</x:v>
      </x:c>
      <x:c r="B13" s="22" t="str">
        <x:v>Monitoring, alerting, escalation, SLA, improvement loop</x:v>
      </x:c>
      <x:c r="C13" s="22" t="str"/>
      <x:c r="D13" s="22" t="str"/>
    </x:row>
  </x:sheetData>
  <x:dataValidations count="1">
    <x:dataValidation type="list" sqref="D4:D20">
      <x:formula1>"Not Started,In Progress,Blocked,Needs Approval,Approved,Done"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d5f043cdb4a4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>
      <x:c r="A1" s="6" t="str">
        <x:v>PROMPT LIBRARY</x:v>
      </x:c>
      <x:c r="B1" s="6" t="str"/>
    </x:row>
    <x:row r="2">
      <x:c r="A2" t="str">
        <x:v>Reusable prompts for operating Auto Builder from this workbook.</x:v>
      </x:c>
      <x:c r="B2" t="str"/>
    </x:row>
    <x:row r="3">
      <x:c r="A3" s="16" t="str">
        <x:v>Prompt Name</x:v>
      </x:c>
      <x:c r="B3" s="16" t="str">
        <x:v>Prompt Text</x:v>
      </x:c>
    </x:row>
    <x:row r="4">
      <x:c r="A4" s="22" t="str">
        <x:v>Master Build Invocation</x:v>
      </x:c>
      <x:c r="B4" s="22" t="str">
        <x:v>Use this workbook as source truth. Build a complete governed system-in-a-box for [SYSTEM] using the filled intake, benchmark, legal-safe synthesis, stack map, governance gates, and validation plan. Separate Verified, Inferred, and Could not verify. Produce repo plan, Supabase schema, Next.js surface, automation DAG, social lead-gen OS, QA tests, rollback plan, env register, and final handoff.</x:v>
      </x:c>
    </x:row>
    <x:row r="5">
      <x:c r="A5" s="22" t="str">
        <x:v>Browser Benchmark Prompt</x:v>
      </x:c>
      <x:c r="B5" s="22" t="str">
        <x:v>Identify the top 3 public comparable systems for [CATEGORY] using web research. Capture ratings/reviews/proof, pricing, public feature set, UX/onboarding, integrations, content/social, lead-gen, weaknesses, strengths, and source URLs. Do not use non-public or restricted data.</x:v>
      </x:c>
    </x:row>
    <x:row r="6">
      <x:c r="A6" s="22" t="str">
        <x:v>Clean-Room Synthesis Prompt</x:v>
      </x:c>
      <x:c r="B6" s="22" t="str">
        <x:v>Create an original system design by combining legal-safe benchmark strengths, fixing weaknesses, and adding at least one 10%+ measurable enhancement. Do not copy protected names, code, brand assets, content, trade dress, confidential workflows, or restricted data.</x:v>
      </x:c>
    </x:row>
    <x:row r="7">
      <x:c r="A7" s="22" t="str">
        <x:v>Social Lead Gen Prompt</x:v>
      </x:c>
      <x:c r="B7" s="22" t="str">
        <x:v>Build a channel-native autonomous social and lead-generation operating system with content pillars, post cadence, lead magnets, CTAs, nurture sequence, approval gates, KPIs, QA checks, and publishing rules.</x:v>
      </x:c>
    </x:row>
    <x:row r="8">
      <x:c r="A8" s="22" t="str">
        <x:v>Production Hardening Prompt</x:v>
      </x:c>
      <x:c r="B8" s="22" t="str">
        <x:v>Harden the system for production: env vars, credentials, monitoring, logs, health checks, retries, queue failures, rollback, release gates, security/RLS, documentation, and owner approvals.</x:v>
      </x:c>
    </x:row>
  </x:sheetData>
  <x:pageMargins left="0.7" right="0.7" top="0.75" bottom="0.75" header="0.3" footer="0.3"/>
  <x:tableParts count="1">
    <x:tablePart xmlns:r="http://schemas.openxmlformats.org/officeDocument/2006/relationships" r:id="R62529dc864b34c7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</x:cols>
  <x:sheetData>
    <x:row r="1">
      <x:c r="A1" s="6" t="str">
        <x:v>CONTROL LISTS</x:v>
      </x:c>
      <x:c r="B1" s="6" t="str"/>
    </x:row>
    <x:row r="2">
      <x:c r="A2" t="str">
        <x:v>Dropdown/control values used across the workbook.</x:v>
      </x:c>
      <x:c r="B2" t="str"/>
    </x:row>
    <x:row r="3">
      <x:c r="A3" s="16" t="str">
        <x:v>List</x:v>
      </x:c>
      <x:c r="B3" s="16" t="str">
        <x:v>Value</x:v>
      </x:c>
    </x:row>
    <x:row r="4">
      <x:c r="A4" s="22" t="str">
        <x:v>Status</x:v>
      </x:c>
      <x:c r="B4" s="22" t="str">
        <x:v>Not Started</x:v>
      </x:c>
    </x:row>
    <x:row r="5">
      <x:c r="A5" s="22" t="str">
        <x:v>Status</x:v>
      </x:c>
      <x:c r="B5" s="22" t="str">
        <x:v>In Progress</x:v>
      </x:c>
    </x:row>
    <x:row r="6">
      <x:c r="A6" s="22" t="str">
        <x:v>Status</x:v>
      </x:c>
      <x:c r="B6" s="22" t="str">
        <x:v>Blocked</x:v>
      </x:c>
    </x:row>
    <x:row r="7">
      <x:c r="A7" s="22" t="str">
        <x:v>Status</x:v>
      </x:c>
      <x:c r="B7" s="22" t="str">
        <x:v>Needs Approval</x:v>
      </x:c>
    </x:row>
    <x:row r="8">
      <x:c r="A8" s="22" t="str">
        <x:v>Status</x:v>
      </x:c>
      <x:c r="B8" s="22" t="str">
        <x:v>Approved</x:v>
      </x:c>
    </x:row>
    <x:row r="9">
      <x:c r="A9" s="22" t="str">
        <x:v>Status</x:v>
      </x:c>
      <x:c r="B9" s="22" t="str">
        <x:v>Done</x:v>
      </x:c>
    </x:row>
    <x:row r="10">
      <x:c r="A10" s="22" t="str">
        <x:v>Priority</x:v>
      </x:c>
      <x:c r="B10" s="22" t="str">
        <x:v>Low</x:v>
      </x:c>
    </x:row>
    <x:row r="11">
      <x:c r="A11" s="22" t="str">
        <x:v>Priority</x:v>
      </x:c>
      <x:c r="B11" s="22" t="str">
        <x:v>Medium</x:v>
      </x:c>
    </x:row>
    <x:row r="12">
      <x:c r="A12" s="22" t="str">
        <x:v>Priority</x:v>
      </x:c>
      <x:c r="B12" s="22" t="str">
        <x:v>High</x:v>
      </x:c>
    </x:row>
    <x:row r="13">
      <x:c r="A13" s="22" t="str">
        <x:v>Priority</x:v>
      </x:c>
      <x:c r="B13" s="22" t="str">
        <x:v>Critical</x:v>
      </x:c>
    </x:row>
    <x:row r="14">
      <x:c r="A14" s="22" t="str">
        <x:v>Risk</x:v>
      </x:c>
      <x:c r="B14" s="22" t="str">
        <x:v>Low</x:v>
      </x:c>
    </x:row>
    <x:row r="15">
      <x:c r="A15" s="22" t="str">
        <x:v>Risk</x:v>
      </x:c>
      <x:c r="B15" s="22" t="str">
        <x:v>Medium</x:v>
      </x:c>
    </x:row>
    <x:row r="16">
      <x:c r="A16" s="22" t="str">
        <x:v>Risk</x:v>
      </x:c>
      <x:c r="B16" s="22" t="str">
        <x:v>High</x:v>
      </x:c>
    </x:row>
    <x:row r="17">
      <x:c r="A17" s="22" t="str">
        <x:v>Risk</x:v>
      </x:c>
      <x:c r="B17" s="22" t="str">
        <x:v>Legal Review</x:v>
      </x:c>
    </x:row>
    <x:row r="18">
      <x:c r="A18" s="22" t="str">
        <x:v>Autonomy</x:v>
      </x:c>
      <x:c r="B18" s="22" t="str">
        <x:v>Advisory</x:v>
      </x:c>
    </x:row>
    <x:row r="19">
      <x:c r="A19" s="22" t="str">
        <x:v>Autonomy</x:v>
      </x:c>
      <x:c r="B19" s="22" t="str">
        <x:v>Draft Only</x:v>
      </x:c>
    </x:row>
    <x:row r="20">
      <x:c r="A20" s="22" t="str">
        <x:v>Autonomy</x:v>
      </x:c>
      <x:c r="B20" s="22" t="str">
        <x:v>Execute With Approval</x:v>
      </x:c>
    </x:row>
    <x:row r="21">
      <x:c r="A21" s="22" t="str">
        <x:v>Autonomy</x:v>
      </x:c>
      <x:c r="B21" s="22" t="str">
        <x:v>Autonomous Within Guardrails</x:v>
      </x:c>
    </x:row>
  </x:sheetData>
  <x:pageMargins left="0.7" right="0.7" top="0.75" bottom="0.75" header="0.3" footer="0.3"/>
  <x:tableParts count="1">
    <x:tablePart xmlns:r="http://schemas.openxmlformats.org/officeDocument/2006/relationships" r:id="R487cc6c4802d483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3" max="3" width="55" hidden="0" customWidth="1"/>
    <x:col min="4" max="4" width="35" hidden="0" customWidth="1"/>
  </x:cols>
  <x:sheetData>
    <x:row r="1">
      <x:c r="A1" s="42" t="str">
        <x:v>SUPABASE SCHEMA TEMPLATE</x:v>
      </x:c>
      <x:c r="B1" s="42" t="str"/>
      <x:c r="C1" s="42" t="str"/>
      <x:c r="D1" s="42" t="str"/>
    </x:row>
    <x:row r="2">
      <x:c r="A2" t="str">
        <x:v>Recommended tables for one-and-done Auto Builder systems.</x:v>
      </x:c>
      <x:c r="B2" t="str"/>
      <x:c r="C2" t="str"/>
      <x:c r="D2" t="str"/>
    </x:row>
    <x:row r="3">
      <x:c r="A3" s="46" t="str">
        <x:v>Table</x:v>
      </x:c>
      <x:c r="B3" s="46" t="str">
        <x:v>Core Fields</x:v>
      </x:c>
      <x:c r="C3" s="46" t="str">
        <x:v>Purpose</x:v>
      </x:c>
      <x:c r="D3" s="46" t="str">
        <x:v>RLS / Notes</x:v>
      </x:c>
    </x:row>
    <x:row r="4">
      <x:c r="A4" s="22" t="str">
        <x:v>projects</x:v>
      </x:c>
      <x:c r="B4" s="22" t="str">
        <x:v>id, name, owner, status, source_truth_url, created_at</x:v>
      </x:c>
      <x:c r="C4" s="22" t="str">
        <x:v>Master project registry</x:v>
      </x:c>
      <x:c r="D4" s="22" t="str"/>
    </x:row>
    <x:row r="5">
      <x:c r="A5" s="22" t="str">
        <x:v>systems</x:v>
      </x:c>
      <x:c r="B5" s="22" t="str">
        <x:v>id, project_id, system_type, purpose, stage, autonomy_level, version</x:v>
      </x:c>
      <x:c r="C5" s="22" t="str">
        <x:v>Agent/workflow/system records</x:v>
      </x:c>
      <x:c r="D5" s="22" t="str"/>
    </x:row>
    <x:row r="6">
      <x:c r="A6" s="22" t="str">
        <x:v>intake_answers</x:v>
      </x:c>
      <x:c r="B6" s="22" t="str">
        <x:v>id, project_id, question_key, answer, source, confidence</x:v>
      </x:c>
      <x:c r="C6" s="22" t="str">
        <x:v>Production intake source truth</x:v>
      </x:c>
      <x:c r="D6" s="22" t="str"/>
    </x:row>
    <x:row r="7">
      <x:c r="A7" s="22" t="str">
        <x:v>benchmark_candidates</x:v>
      </x:c>
      <x:c r="B7" s="22" t="str">
        <x:v>id, project_id, name, url, rating, review_count, evidence_url, notes</x:v>
      </x:c>
      <x:c r="C7" s="22" t="str">
        <x:v>Top 3 candidate evidence</x:v>
      </x:c>
      <x:c r="D7" s="22" t="str"/>
    </x:row>
    <x:row r="8">
      <x:c r="A8" s="22" t="str">
        <x:v>benchmark_scores</x:v>
      </x:c>
      <x:c r="B8" s="22" t="str">
        <x:v>id, candidate_id, metric, weight, score, notes</x:v>
      </x:c>
      <x:c r="C8" s="22" t="str">
        <x:v>Benchmark scorecard data</x:v>
      </x:c>
      <x:c r="D8" s="22" t="str"/>
    </x:row>
    <x:row r="9">
      <x:c r="A9" s="22" t="str">
        <x:v>strengths_weaknesses</x:v>
      </x:c>
      <x:c r="B9" s="22" t="str">
        <x:v>id, project_id, system_area, strength, weakness, fix_design, legal_classification</x:v>
      </x:c>
      <x:c r="C9" s="22" t="str">
        <x:v>Synthesis table</x:v>
      </x:c>
      <x:c r="D9" s="22" t="str"/>
    </x:row>
    <x:row r="10">
      <x:c r="A10" s="22" t="str">
        <x:v>enhancement_model</x:v>
      </x:c>
      <x:c r="B10" s="22" t="str">
        <x:v>id, project_id, metric, baseline, target, impact_value, improvement_percent</x:v>
      </x:c>
      <x:c r="C10" s="22" t="str">
        <x:v>10%+ improvement proof</x:v>
      </x:c>
      <x:c r="D10" s="22" t="str"/>
    </x:row>
    <x:row r="11">
      <x:c r="A11" s="22" t="str">
        <x:v>agent_specs</x:v>
      </x:c>
      <x:c r="B11" s="22" t="str">
        <x:v>id, system_id, name, inputs, outputs, tools_allowed, permissions, approval_rules</x:v>
      </x:c>
      <x:c r="C11" s="22" t="str">
        <x:v>Universal agent contract</x:v>
      </x:c>
      <x:c r="D11" s="22" t="str"/>
    </x:row>
    <x:row r="12">
      <x:c r="A12" s="22" t="str">
        <x:v>workflow_steps</x:v>
      </x:c>
      <x:c r="B12" s="22" t="str">
        <x:v>id, system_id, stage, action, input_object, output_object, gate, owner</x:v>
      </x:c>
      <x:c r="C12" s="22" t="str">
        <x:v>Executable workflow map</x:v>
      </x:c>
      <x:c r="D12" s="22" t="str"/>
    </x:row>
    <x:row r="13">
      <x:c r="A13" s="22" t="str">
        <x:v>jobs_queue</x:v>
      </x:c>
      <x:c r="B13" s="22" t="str">
        <x:v>id, system_id, job_type, payload_json, status, retries, scheduled_for, last_error</x:v>
      </x:c>
      <x:c r="C13" s="22" t="str">
        <x:v>Automation queue</x:v>
      </x:c>
      <x:c r="D13" s="22" t="str"/>
    </x:row>
    <x:row r="14">
      <x:c r="A14" s="22" t="str">
        <x:v>audit_log</x:v>
      </x:c>
      <x:c r="B14" s="22" t="str">
        <x:v>id, actor, action, object_type, object_id, before_json, after_json, timestamp</x:v>
      </x:c>
      <x:c r="C14" s="22" t="str">
        <x:v>Governance and traceability</x:v>
      </x:c>
      <x:c r="D14" s="22" t="str"/>
    </x:row>
    <x:row r="15">
      <x:c r="A15" s="22" t="str">
        <x:v>approval_requests</x:v>
      </x:c>
      <x:c r="B15" s="22" t="str">
        <x:v>id, project_id, gate, requester, approver, status, evidence_url, decision_at</x:v>
      </x:c>
      <x:c r="C15" s="22" t="str">
        <x:v>Human approval trail</x:v>
      </x:c>
      <x:c r="D15" s="22" t="str"/>
    </x:row>
    <x:row r="16">
      <x:c r="A16" s="22" t="str">
        <x:v>content_calendar</x:v>
      </x:c>
      <x:c r="B16" s="22" t="str">
        <x:v>id, project_id, channel, asset_type, hook, caption, status, scheduled_at</x:v>
      </x:c>
      <x:c r="C16" s="22" t="str">
        <x:v>Social/lead-gen execution</x:v>
      </x:c>
      <x:c r="D16" s="22" t="str"/>
    </x:row>
    <x:row r="17">
      <x:c r="A17" s="22" t="str">
        <x:v>leads</x:v>
      </x:c>
      <x:c r="B17" s="22" t="str">
        <x:v>id, project_id, source, name, contact, stage, score, next_action</x:v>
      </x:c>
      <x:c r="C17" s="22" t="str">
        <x:v>Lead generation CRM layer</x:v>
      </x:c>
      <x:c r="D17" s="22" t="str"/>
    </x:row>
    <x:row r="18">
      <x:c r="A18" s="22" t="str">
        <x:v>kpi_snapshots</x:v>
      </x:c>
      <x:c r="B18" s="22" t="str">
        <x:v>id, project_id, metric, value, period_start, period_end, source</x:v>
      </x:c>
      <x:c r="C18" s="22" t="str">
        <x:v>Reporting and measurement</x:v>
      </x:c>
      <x:c r="D18" s="22" t="str"/>
    </x:row>
    <x:row r="19">
      <x:c r="A19" s="22" t="str">
        <x:v>rollback_points</x:v>
      </x:c>
      <x:c r="B19" s="22" t="str">
        <x:v>id, system_id, release_version, restore_action, evidence_url, tested_at</x:v>
      </x:c>
      <x:c r="C19" s="22" t="str">
        <x:v>Rollback-first architecture</x:v>
      </x:c>
      <x:c r="D19" s="22" t="str"/>
    </x:row>
  </x:sheetData>
  <x:pageMargins left="0.7" right="0.7" top="0.75" bottom="0.75" header="0.3" footer="0.3"/>
  <x:tableParts count="1">
    <x:tablePart xmlns:r="http://schemas.openxmlformats.org/officeDocument/2006/relationships" r:id="R6fe59fac696f45f6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5" hidden="0" customWidth="1"/>
    <x:col min="4" max="4" width="24" hidden="0" customWidth="1"/>
    <x:col min="5" max="5" width="35" hidden="0" customWidth="1"/>
    <x:col min="6" max="6" width="28" hidden="0" customWidth="1"/>
    <x:col min="7" max="7" width="35" hidden="0" customWidth="1"/>
    <x:col min="8" max="8" width="22" hidden="0" customWidth="1"/>
    <x:col min="9" max="9" width="30" hidden="0" customWidth="1"/>
    <x:col min="10" max="10" width="24" hidden="0" customWidth="1"/>
    <x:col min="11" max="11" width="16" hidden="0" customWidth="1"/>
  </x:cols>
  <x:sheetData>
    <x:row r="1">
      <x:c r="A1" s="42" t="str">
        <x:v>AUTONOMOUS EXECUTION DAG</x:v>
      </x:c>
      <x:c r="B1" s="42" t="str"/>
      <x:c r="C1" s="42" t="str"/>
      <x:c r="D1" s="42" t="str"/>
      <x:c r="E1" s="42" t="str"/>
      <x:c r="F1" s="42" t="str"/>
      <x:c r="G1" s="42" t="str"/>
      <x:c r="H1" s="42" t="str"/>
      <x:c r="I1" s="42" t="str"/>
      <x:c r="J1" s="42" t="str"/>
      <x:c r="K1" s="42" t="str"/>
    </x:row>
    <x:row r="2">
      <x:c r="A2" t="str">
        <x:v>Queue, cron, workflow, and approval topology for governed automation.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s="46" t="str">
        <x:v>Node</x:v>
      </x:c>
      <x:c r="B3" s="46" t="str">
        <x:v>Trigger</x:v>
      </x:c>
      <x:c r="C3" s="46" t="str">
        <x:v>Inputs</x:v>
      </x:c>
      <x:c r="D3" s="46" t="str">
        <x:v>Tool/Service</x:v>
      </x:c>
      <x:c r="E3" s="46" t="str">
        <x:v>Output</x:v>
      </x:c>
      <x:c r="F3" s="46" t="str">
        <x:v>Logs To</x:v>
      </x:c>
      <x:c r="G3" s="46" t="str">
        <x:v>Failure Mode</x:v>
      </x:c>
      <x:c r="H3" s="46" t="str">
        <x:v>Retry</x:v>
      </x:c>
      <x:c r="I3" s="46" t="str">
        <x:v>Rollback</x:v>
      </x:c>
      <x:c r="J3" s="46" t="str">
        <x:v>Approval Gate</x:v>
      </x:c>
      <x:c r="K3" s="46" t="str">
        <x:v>Status</x:v>
      </x:c>
    </x:row>
    <x:row r="4">
      <x:c r="A4" s="22" t="str">
        <x:v>Research job</x:v>
      </x:c>
      <x:c r="B4" s="22" t="str">
        <x:v>Trigger/event</x:v>
      </x:c>
      <x:c r="C4" s="22" t="str"/>
      <x:c r="D4" s="22" t="str">
        <x:v>Inputs from previous stage</x:v>
      </x:c>
      <x:c r="E4" s="22" t="str"/>
      <x:c r="F4" s="22" t="str">
        <x:v>Output artifact</x:v>
      </x:c>
      <x:c r="G4" s="22" t="str"/>
      <x:c r="H4" s="22" t="str">
        <x:v>Retry policy</x:v>
      </x:c>
      <x:c r="I4" s="22" t="str"/>
      <x:c r="J4" s="22" t="str">
        <x:v>Approval needed?</x:v>
      </x:c>
      <x:c r="K4" s="22" t="str"/>
    </x:row>
    <x:row r="5">
      <x:c r="A5" s="22" t="str">
        <x:v>Benchmark scoring job</x:v>
      </x:c>
      <x:c r="B5" s="22" t="str">
        <x:v>Trigger/event</x:v>
      </x:c>
      <x:c r="C5" s="22" t="str"/>
      <x:c r="D5" s="22" t="str">
        <x:v>Inputs from previous stage</x:v>
      </x:c>
      <x:c r="E5" s="22" t="str"/>
      <x:c r="F5" s="22" t="str">
        <x:v>Output artifact</x:v>
      </x:c>
      <x:c r="G5" s="22" t="str"/>
      <x:c r="H5" s="22" t="str">
        <x:v>Retry policy</x:v>
      </x:c>
      <x:c r="I5" s="22" t="str"/>
      <x:c r="J5" s="22" t="str">
        <x:v>Approval needed?</x:v>
      </x:c>
      <x:c r="K5" s="22" t="str"/>
    </x:row>
    <x:row r="6">
      <x:c r="A6" s="22" t="str">
        <x:v>Weakness/fix synthesis job</x:v>
      </x:c>
      <x:c r="B6" s="22" t="str">
        <x:v>Trigger/event</x:v>
      </x:c>
      <x:c r="C6" s="22" t="str"/>
      <x:c r="D6" s="22" t="str">
        <x:v>Inputs from previous stage</x:v>
      </x:c>
      <x:c r="E6" s="22" t="str"/>
      <x:c r="F6" s="22" t="str">
        <x:v>Output artifact</x:v>
      </x:c>
      <x:c r="G6" s="22" t="str"/>
      <x:c r="H6" s="22" t="str">
        <x:v>Retry policy</x:v>
      </x:c>
      <x:c r="I6" s="22" t="str"/>
      <x:c r="J6" s="22" t="str">
        <x:v>Approval needed?</x:v>
      </x:c>
      <x:c r="K6" s="22" t="str"/>
    </x:row>
    <x:row r="7">
      <x:c r="A7" s="22" t="str">
        <x:v>Spec generation job</x:v>
      </x:c>
      <x:c r="B7" s="22" t="str">
        <x:v>Trigger/event</x:v>
      </x:c>
      <x:c r="C7" s="22" t="str"/>
      <x:c r="D7" s="22" t="str">
        <x:v>Inputs from previous stage</x:v>
      </x:c>
      <x:c r="E7" s="22" t="str"/>
      <x:c r="F7" s="22" t="str">
        <x:v>Output artifact</x:v>
      </x:c>
      <x:c r="G7" s="22" t="str"/>
      <x:c r="H7" s="22" t="str">
        <x:v>Retry policy</x:v>
      </x:c>
      <x:c r="I7" s="22" t="str"/>
      <x:c r="J7" s="22" t="str">
        <x:v>Approval needed?</x:v>
      </x:c>
      <x:c r="K7" s="22" t="str"/>
    </x:row>
    <x:row r="8">
      <x:c r="A8" s="22" t="str">
        <x:v>Schema generation job</x:v>
      </x:c>
      <x:c r="B8" s="22" t="str">
        <x:v>Trigger/event</x:v>
      </x:c>
      <x:c r="C8" s="22" t="str"/>
      <x:c r="D8" s="22" t="str">
        <x:v>Inputs from previous stage</x:v>
      </x:c>
      <x:c r="E8" s="22" t="str"/>
      <x:c r="F8" s="22" t="str">
        <x:v>Output artifact</x:v>
      </x:c>
      <x:c r="G8" s="22" t="str"/>
      <x:c r="H8" s="22" t="str">
        <x:v>Retry policy</x:v>
      </x:c>
      <x:c r="I8" s="22" t="str"/>
      <x:c r="J8" s="22" t="str">
        <x:v>Approval needed?</x:v>
      </x:c>
      <x:c r="K8" s="22" t="str"/>
    </x:row>
    <x:row r="9">
      <x:c r="A9" s="22" t="str">
        <x:v>Frontend build job</x:v>
      </x:c>
      <x:c r="B9" s="22" t="str">
        <x:v>Trigger/event</x:v>
      </x:c>
      <x:c r="C9" s="22" t="str"/>
      <x:c r="D9" s="22" t="str">
        <x:v>Inputs from previous stage</x:v>
      </x:c>
      <x:c r="E9" s="22" t="str"/>
      <x:c r="F9" s="22" t="str">
        <x:v>Output artifact</x:v>
      </x:c>
      <x:c r="G9" s="22" t="str"/>
      <x:c r="H9" s="22" t="str">
        <x:v>Retry policy</x:v>
      </x:c>
      <x:c r="I9" s="22" t="str"/>
      <x:c r="J9" s="22" t="str">
        <x:v>Approval needed?</x:v>
      </x:c>
      <x:c r="K9" s="22" t="str"/>
    </x:row>
    <x:row r="10">
      <x:c r="A10" s="22" t="str">
        <x:v>Automation build job</x:v>
      </x:c>
      <x:c r="B10" s="22" t="str">
        <x:v>Trigger/event</x:v>
      </x:c>
      <x:c r="C10" s="22" t="str"/>
      <x:c r="D10" s="22" t="str">
        <x:v>Inputs from previous stage</x:v>
      </x:c>
      <x:c r="E10" s="22" t="str"/>
      <x:c r="F10" s="22" t="str">
        <x:v>Output artifact</x:v>
      </x:c>
      <x:c r="G10" s="22" t="str"/>
      <x:c r="H10" s="22" t="str">
        <x:v>Retry policy</x:v>
      </x:c>
      <x:c r="I10" s="22" t="str"/>
      <x:c r="J10" s="22" t="str">
        <x:v>Approval needed?</x:v>
      </x:c>
      <x:c r="K10" s="22" t="str"/>
    </x:row>
    <x:row r="11">
      <x:c r="A11" s="22" t="str">
        <x:v>Social draft job</x:v>
      </x:c>
      <x:c r="B11" s="22" t="str">
        <x:v>Trigger/event</x:v>
      </x:c>
      <x:c r="C11" s="22" t="str"/>
      <x:c r="D11" s="22" t="str">
        <x:v>Inputs from previous stage</x:v>
      </x:c>
      <x:c r="E11" s="22" t="str"/>
      <x:c r="F11" s="22" t="str">
        <x:v>Output artifact</x:v>
      </x:c>
      <x:c r="G11" s="22" t="str"/>
      <x:c r="H11" s="22" t="str">
        <x:v>Retry policy</x:v>
      </x:c>
      <x:c r="I11" s="22" t="str"/>
      <x:c r="J11" s="22" t="str">
        <x:v>Approval needed?</x:v>
      </x:c>
      <x:c r="K11" s="22" t="str"/>
    </x:row>
    <x:row r="12">
      <x:c r="A12" s="22" t="str">
        <x:v>Lead capture job</x:v>
      </x:c>
      <x:c r="B12" s="22" t="str">
        <x:v>Trigger/event</x:v>
      </x:c>
      <x:c r="C12" s="22" t="str"/>
      <x:c r="D12" s="22" t="str">
        <x:v>Inputs from previous stage</x:v>
      </x:c>
      <x:c r="E12" s="22" t="str"/>
      <x:c r="F12" s="22" t="str">
        <x:v>Output artifact</x:v>
      </x:c>
      <x:c r="G12" s="22" t="str"/>
      <x:c r="H12" s="22" t="str">
        <x:v>Retry policy</x:v>
      </x:c>
      <x:c r="I12" s="22" t="str"/>
      <x:c r="J12" s="22" t="str">
        <x:v>Approval needed?</x:v>
      </x:c>
      <x:c r="K12" s="22" t="str"/>
    </x:row>
    <x:row r="13">
      <x:c r="A13" s="22" t="str">
        <x:v>QA validation job</x:v>
      </x:c>
      <x:c r="B13" s="22" t="str">
        <x:v>Trigger/event</x:v>
      </x:c>
      <x:c r="C13" s="22" t="str"/>
      <x:c r="D13" s="22" t="str">
        <x:v>Inputs from previous stage</x:v>
      </x:c>
      <x:c r="E13" s="22" t="str"/>
      <x:c r="F13" s="22" t="str">
        <x:v>Output artifact</x:v>
      </x:c>
      <x:c r="G13" s="22" t="str"/>
      <x:c r="H13" s="22" t="str">
        <x:v>Retry policy</x:v>
      </x:c>
      <x:c r="I13" s="22" t="str"/>
      <x:c r="J13" s="22" t="str">
        <x:v>Approval needed?</x:v>
      </x:c>
      <x:c r="K13" s="22" t="str"/>
    </x:row>
    <x:row r="14">
      <x:c r="A14" s="22" t="str">
        <x:v>Approval request job</x:v>
      </x:c>
      <x:c r="B14" s="22" t="str">
        <x:v>Trigger/event</x:v>
      </x:c>
      <x:c r="C14" s="22" t="str"/>
      <x:c r="D14" s="22" t="str">
        <x:v>Inputs from previous stage</x:v>
      </x:c>
      <x:c r="E14" s="22" t="str"/>
      <x:c r="F14" s="22" t="str">
        <x:v>Output artifact</x:v>
      </x:c>
      <x:c r="G14" s="22" t="str"/>
      <x:c r="H14" s="22" t="str">
        <x:v>Retry policy</x:v>
      </x:c>
      <x:c r="I14" s="22" t="str"/>
      <x:c r="J14" s="22" t="str">
        <x:v>Approval needed?</x:v>
      </x:c>
      <x:c r="K14" s="22" t="str"/>
    </x:row>
    <x:row r="15">
      <x:c r="A15" s="22" t="str">
        <x:v>Preview deploy job</x:v>
      </x:c>
      <x:c r="B15" s="22" t="str">
        <x:v>Trigger/event</x:v>
      </x:c>
      <x:c r="C15" s="22" t="str"/>
      <x:c r="D15" s="22" t="str">
        <x:v>Inputs from previous stage</x:v>
      </x:c>
      <x:c r="E15" s="22" t="str"/>
      <x:c r="F15" s="22" t="str">
        <x:v>Output artifact</x:v>
      </x:c>
      <x:c r="G15" s="22" t="str"/>
      <x:c r="H15" s="22" t="str">
        <x:v>Retry policy</x:v>
      </x:c>
      <x:c r="I15" s="22" t="str"/>
      <x:c r="J15" s="22" t="str">
        <x:v>Approval needed?</x:v>
      </x:c>
      <x:c r="K15" s="22" t="str"/>
    </x:row>
    <x:row r="16">
      <x:c r="A16" s="22" t="str">
        <x:v>Production release job</x:v>
      </x:c>
      <x:c r="B16" s="22" t="str">
        <x:v>Trigger/event</x:v>
      </x:c>
      <x:c r="C16" s="22" t="str"/>
      <x:c r="D16" s="22" t="str">
        <x:v>Inputs from previous stage</x:v>
      </x:c>
      <x:c r="E16" s="22" t="str"/>
      <x:c r="F16" s="22" t="str">
        <x:v>Output artifact</x:v>
      </x:c>
      <x:c r="G16" s="22" t="str"/>
      <x:c r="H16" s="22" t="str">
        <x:v>Retry policy</x:v>
      </x:c>
      <x:c r="I16" s="22" t="str"/>
      <x:c r="J16" s="22" t="str">
        <x:v>Approval needed?</x:v>
      </x:c>
      <x:c r="K16" s="22" t="str"/>
    </x:row>
    <x:row r="17">
      <x:c r="A17" s="22" t="str">
        <x:v>Monitoring job</x:v>
      </x:c>
      <x:c r="B17" s="22" t="str">
        <x:v>Trigger/event</x:v>
      </x:c>
      <x:c r="C17" s="22" t="str"/>
      <x:c r="D17" s="22" t="str">
        <x:v>Inputs from previous stage</x:v>
      </x:c>
      <x:c r="E17" s="22" t="str"/>
      <x:c r="F17" s="22" t="str">
        <x:v>Output artifact</x:v>
      </x:c>
      <x:c r="G17" s="22" t="str"/>
      <x:c r="H17" s="22" t="str">
        <x:v>Retry policy</x:v>
      </x:c>
      <x:c r="I17" s="22" t="str"/>
      <x:c r="J17" s="22" t="str">
        <x:v>Approval needed?</x:v>
      </x:c>
      <x:c r="K17" s="22" t="str"/>
    </x:row>
    <x:row r="18">
      <x:c r="A18" s="22" t="str">
        <x:v>Improvement loop job</x:v>
      </x:c>
      <x:c r="B18" s="22" t="str">
        <x:v>Trigger/event</x:v>
      </x:c>
      <x:c r="C18" s="22" t="str"/>
      <x:c r="D18" s="22" t="str">
        <x:v>Inputs from previous stage</x:v>
      </x:c>
      <x:c r="E18" s="22" t="str"/>
      <x:c r="F18" s="22" t="str">
        <x:v>Output artifact</x:v>
      </x:c>
      <x:c r="G18" s="22" t="str"/>
      <x:c r="H18" s="22" t="str">
        <x:v>Retry policy</x:v>
      </x:c>
      <x:c r="I18" s="22" t="str"/>
      <x:c r="J18" s="22" t="str">
        <x:v>Approval needed?</x:v>
      </x:c>
      <x:c r="K18" s="22" t="str"/>
    </x:row>
  </x:sheetData>
  <x:pageMargins left="0.7" right="0.7" top="0.75" bottom="0.75" header="0.3" footer="0.3"/>
  <x:tableParts count="1">
    <x:tablePart xmlns:r="http://schemas.openxmlformats.org/officeDocument/2006/relationships" r:id="Rf21ac74ab28640a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  <x:col min="3" max="3" width="18" hidden="0" customWidth="1"/>
    <x:col min="4" max="4" width="35" hidden="0" customWidth="1"/>
  </x:cols>
  <x:sheetData>
    <x:row r="1">
      <x:c r="A1" s="42" t="str">
        <x:v>DOCUMENTATION CHECKLIST</x:v>
      </x:c>
      <x:c r="B1" s="42" t="str"/>
      <x:c r="C1" s="42" t="str"/>
      <x:c r="D1" s="42" t="str"/>
    </x:row>
    <x:row r="2">
      <x:c r="A2" t="str">
        <x:v>Every production system must ship with these docs or marked not applicable.</x:v>
      </x:c>
      <x:c r="B2" t="str"/>
      <x:c r="C2" t="str"/>
      <x:c r="D2" t="str"/>
    </x:row>
    <x:row r="3">
      <x:c r="A3" s="46" t="str">
        <x:v>Document</x:v>
      </x:c>
      <x:c r="B3" s="46" t="str">
        <x:v>Required Contents</x:v>
      </x:c>
      <x:c r="C3" s="46" t="str">
        <x:v>Need Level</x:v>
      </x:c>
      <x:c r="D3" s="46" t="str">
        <x:v>Status/Link</x:v>
      </x:c>
    </x:row>
    <x:row r="4">
      <x:c r="A4" s="22" t="str">
        <x:v>README.md</x:v>
      </x:c>
      <x:c r="B4" s="22" t="str">
        <x:v>What the system does, how to run it, owners, source truth, current version</x:v>
      </x:c>
      <x:c r="C4" s="22" t="str">
        <x:v>Required</x:v>
      </x:c>
      <x:c r="D4" s="22" t="str"/>
    </x:row>
    <x:row r="5">
      <x:c r="A5" s="22" t="str">
        <x:v>ARCHITECTURE.md</x:v>
      </x:c>
      <x:c r="B5" s="22" t="str">
        <x:v>Frontend, backend, automations, data flow, trust boundaries</x:v>
      </x:c>
      <x:c r="C5" s="22" t="str">
        <x:v>Required</x:v>
      </x:c>
      <x:c r="D5" s="22" t="str"/>
    </x:row>
    <x:row r="6">
      <x:c r="A6" s="22" t="str">
        <x:v>SUPABASE_SCHEMA.sql</x:v>
      </x:c>
      <x:c r="B6" s="22" t="str">
        <x:v>Tables, indexes, policies, seeds, migrations</x:v>
      </x:c>
      <x:c r="C6" s="22" t="str">
        <x:v>Required</x:v>
      </x:c>
      <x:c r="D6" s="22" t="str"/>
    </x:row>
    <x:row r="7">
      <x:c r="A7" s="22" t="str">
        <x:v>ENVIRONMENT.md</x:v>
      </x:c>
      <x:c r="B7" s="22" t="str">
        <x:v>Env vars without secrets, where to store credentials, rotation policy</x:v>
      </x:c>
      <x:c r="C7" s="22" t="str">
        <x:v>Required</x:v>
      </x:c>
      <x:c r="D7" s="22" t="str"/>
    </x:row>
    <x:row r="8">
      <x:c r="A8" s="22" t="str">
        <x:v>RUNBOOK.md</x:v>
      </x:c>
      <x:c r="B8" s="22" t="str">
        <x:v>Daily operation, monitoring, failure recovery, escalation</x:v>
      </x:c>
      <x:c r="C8" s="22" t="str">
        <x:v>Required</x:v>
      </x:c>
      <x:c r="D8" s="22" t="str"/>
    </x:row>
    <x:row r="9">
      <x:c r="A9" s="22" t="str">
        <x:v>QA_TEST_PLAN.md</x:v>
      </x:c>
      <x:c r="B9" s="22" t="str">
        <x:v>Manual and automated tests, acceptance criteria, evidence</x:v>
      </x:c>
      <x:c r="C9" s="22" t="str">
        <x:v>Required</x:v>
      </x:c>
      <x:c r="D9" s="22" t="str"/>
    </x:row>
    <x:row r="10">
      <x:c r="A10" s="22" t="str">
        <x:v>ROLLBACK_PLAN.md</x:v>
      </x:c>
      <x:c r="B10" s="22" t="str">
        <x:v>How to restore prior state, deploy rollback, data rollback, content rollback</x:v>
      </x:c>
      <x:c r="C10" s="22" t="str">
        <x:v>Required</x:v>
      </x:c>
      <x:c r="D10" s="22" t="str"/>
    </x:row>
    <x:row r="11">
      <x:c r="A11" s="22" t="str">
        <x:v>GOVERNANCE.md</x:v>
      </x:c>
      <x:c r="B11" s="22" t="str">
        <x:v>Approval gates, autonomy levels, permissions, audit log expectations</x:v>
      </x:c>
      <x:c r="C11" s="22" t="str">
        <x:v>Required</x:v>
      </x:c>
      <x:c r="D11" s="22" t="str"/>
    </x:row>
    <x:row r="12">
      <x:c r="A12" s="22" t="str">
        <x:v>CONTENT_SYSTEM.md</x:v>
      </x:c>
      <x:c r="B12" s="22" t="str">
        <x:v>Social strategy, lead-gen flow, channel rules, publishing approvals</x:v>
      </x:c>
      <x:c r="C12" s="22" t="str">
        <x:v>Conditional</x:v>
      </x:c>
      <x:c r="D12" s="22" t="str"/>
    </x:row>
    <x:row r="13">
      <x:c r="A13" s="22" t="str">
        <x:v>SHOPIFY_INTEGRATION.md</x:v>
      </x:c>
      <x:c r="B13" s="22" t="str">
        <x:v>Products, collections, checkout, order/customer events if commerce applies</x:v>
      </x:c>
      <x:c r="C13" s="22" t="str">
        <x:v>Conditional</x:v>
      </x:c>
      <x:c r="D13" s="22" t="str"/>
    </x:row>
    <x:row r="14">
      <x:c r="A14" s="22" t="str">
        <x:v>BRAND_GUIDE.md</x:v>
      </x:c>
      <x:c r="B14" s="22" t="str">
        <x:v>Visual references, typography/colors, copy voice, avoid list</x:v>
      </x:c>
      <x:c r="C14" s="22" t="str">
        <x:v>Required</x:v>
      </x:c>
      <x:c r="D14" s="22" t="str"/>
    </x:row>
    <x:row r="15">
      <x:c r="A15" s="22" t="str">
        <x:v>HANDOFF.md</x:v>
      </x:c>
      <x:c r="B15" s="22" t="str">
        <x:v>What was built, what remains, credentials needed, next improvement loop</x:v>
      </x:c>
      <x:c r="C15" s="22" t="str">
        <x:v>Required</x:v>
      </x:c>
      <x:c r="D15" s="22" t="str"/>
    </x:row>
  </x:sheetData>
  <x:pageMargins left="0.7" right="0.7" top="0.75" bottom="0.75" header="0.3" footer="0.3"/>
  <x:tableParts count="1">
    <x:tablePart xmlns:r="http://schemas.openxmlformats.org/officeDocument/2006/relationships" r:id="Rbd3eeb113846422c"/>
  </x:tableParts>
</x:worksheet>
</file>