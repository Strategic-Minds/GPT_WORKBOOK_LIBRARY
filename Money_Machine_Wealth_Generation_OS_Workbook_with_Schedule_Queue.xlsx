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5d86b7a83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Command Dashboard" sheetId="1" r:id="R7d5f5619a5cb4ef1"/>
    <x:sheet xmlns:r="http://schemas.openxmlformats.org/officeDocument/2006/relationships" name="01 Stack Registry" sheetId="2" r:id="Ra7d909098fe84f1a"/>
    <x:sheet xmlns:r="http://schemas.openxmlformats.org/officeDocument/2006/relationships" name="02 MCP Capability Registry" sheetId="3" r:id="R938449844ff94d9c"/>
    <x:sheet xmlns:r="http://schemas.openxmlformats.org/officeDocument/2006/relationships" name="03 Operating Modes" sheetId="4" r:id="R09c809e3fd334a8e"/>
    <x:sheet xmlns:r="http://schemas.openxmlformats.org/officeDocument/2006/relationships" name="04 Candidate Research" sheetId="5" r:id="R9637a4810c1c4871"/>
    <x:sheet xmlns:r="http://schemas.openxmlformats.org/officeDocument/2006/relationships" name="05 $1000 Investment Plan" sheetId="6" r:id="R1d478c8d38f44ce3"/>
    <x:sheet xmlns:r="http://schemas.openxmlformats.org/officeDocument/2006/relationships" name="06 Simulation Lab" sheetId="7" r:id="R3cbf3c78124e4915"/>
    <x:sheet xmlns:r="http://schemas.openxmlformats.org/officeDocument/2006/relationships" name="07 Keyword Trend Log" sheetId="8" r:id="R4ee5bbb3b35b4544"/>
    <x:sheet xmlns:r="http://schemas.openxmlformats.org/officeDocument/2006/relationships" name="08 Human Psychology Matrix" sheetId="9" r:id="Ra1cf6f3738ff4dad"/>
    <x:sheet xmlns:r="http://schemas.openxmlformats.org/officeDocument/2006/relationships" name="09 Content Factory" sheetId="10" r:id="R774bd8f0f4e149d4"/>
    <x:sheet xmlns:r="http://schemas.openxmlformats.org/officeDocument/2006/relationships" name="10 Hook Bank" sheetId="11" r:id="R4daa2ee4e4c4423b"/>
    <x:sheet xmlns:r="http://schemas.openxmlformats.org/officeDocument/2006/relationships" name="11 Parallel Worker Matrix" sheetId="12" r:id="Rcb221199c5fb4e24"/>
    <x:sheet xmlns:r="http://schemas.openxmlformats.org/officeDocument/2006/relationships" name="12 Governance Gates" sheetId="13" r:id="Rb2e4a182300f4b8d"/>
    <x:sheet xmlns:r="http://schemas.openxmlformats.org/officeDocument/2006/relationships" name="13 Vercel 24-7 Loop" sheetId="14" r:id="R92afb4bca3224acb"/>
    <x:sheet xmlns:r="http://schemas.openxmlformats.org/officeDocument/2006/relationships" name="14 Lead Generation OS" sheetId="15" r:id="Rd31f007b850642b2"/>
    <x:sheet xmlns:r="http://schemas.openxmlformats.org/officeDocument/2006/relationships" name="15 Shopify Stripe Funnel" sheetId="16" r:id="R757b2b8ff61e47be"/>
    <x:sheet xmlns:r="http://schemas.openxmlformats.org/officeDocument/2006/relationships" name="16 AI Media Templates" sheetId="17" r:id="R51b1650f64ce4d7f"/>
    <x:sheet xmlns:r="http://schemas.openxmlformats.org/officeDocument/2006/relationships" name="17 30-60-90 Roadmap" sheetId="18" r:id="Rde7f726275204001"/>
    <x:sheet xmlns:r="http://schemas.openxmlformats.org/officeDocument/2006/relationships" name="18 Master Invocation Prompt" sheetId="19" r:id="R7e734c82bdae4765"/>
    <x:sheet xmlns:r="http://schemas.openxmlformats.org/officeDocument/2006/relationships" name="19 Source Registry" sheetId="20" r:id="R65ded14084254200"/>
    <x:sheet xmlns:r="http://schemas.openxmlformats.org/officeDocument/2006/relationships" name="20 Schedule Control" sheetId="21" r:id="R54657e17912549fe"/>
    <x:sheet xmlns:r="http://schemas.openxmlformats.org/officeDocument/2006/relationships" name="21 Master Task Queue" sheetId="22" r:id="R353d1708496744d7"/>
    <x:sheet xmlns:r="http://schemas.openxmlformats.org/officeDocument/2006/relationships" name="22 Worker Queues" sheetId="23" r:id="R96ffb75cfa124c4e"/>
    <x:sheet xmlns:r="http://schemas.openxmlformats.org/officeDocument/2006/relationships" name="23 Content Schedule" sheetId="24" r:id="R58bb131149a04d8a"/>
    <x:sheet xmlns:r="http://schemas.openxmlformats.org/officeDocument/2006/relationships" name="24 Approval Queue" sheetId="25" r:id="Rdfbcba027c7c455a"/>
    <x:sheet xmlns:r="http://schemas.openxmlformats.org/officeDocument/2006/relationships" name="25 Cron Run Log" sheetId="26" r:id="R85e090df4b69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$#,##0"/>
    <x:numFmt numFmtId="203" formatCode="0.00%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220"/>
      </x:patternFill>
    </x:fill>
    <x:fill>
      <x:patternFill patternType="solid">
        <x:fgColor rgb="111827"/>
      </x:patternFill>
    </x:fill>
    <x:fill>
      <x:patternFill patternType="solid">
        <x:fgColor rgb="111827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8"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c878cd38244cd" /><Relationship Type="http://schemas.openxmlformats.org/officeDocument/2006/relationships/theme" Target="/xl/theme/theme1.xml" Id="Ra12affe15363425c" /><Relationship Type="http://schemas.openxmlformats.org/officeDocument/2006/relationships/sharedStrings" Target="/xl/sharedStrings.xml" Id="R741b9bb377c14552" /><Relationship Type="http://schemas.openxmlformats.org/officeDocument/2006/relationships/worksheet" Target="/xl/worksheets/sheet1.xml" Id="R7d5f5619a5cb4ef1" /><Relationship Type="http://schemas.openxmlformats.org/officeDocument/2006/relationships/worksheet" Target="/xl/worksheets/sheet2.xml" Id="Ra7d909098fe84f1a" /><Relationship Type="http://schemas.openxmlformats.org/officeDocument/2006/relationships/worksheet" Target="/xl/worksheets/sheet3.xml" Id="R938449844ff94d9c" /><Relationship Type="http://schemas.openxmlformats.org/officeDocument/2006/relationships/worksheet" Target="/xl/worksheets/sheet4.xml" Id="R09c809e3fd334a8e" /><Relationship Type="http://schemas.openxmlformats.org/officeDocument/2006/relationships/worksheet" Target="/xl/worksheets/sheet5.xml" Id="R9637a4810c1c4871" /><Relationship Type="http://schemas.openxmlformats.org/officeDocument/2006/relationships/worksheet" Target="/xl/worksheets/sheet6.xml" Id="R1d478c8d38f44ce3" /><Relationship Type="http://schemas.openxmlformats.org/officeDocument/2006/relationships/worksheet" Target="/xl/worksheets/sheet7.xml" Id="R3cbf3c78124e4915" /><Relationship Type="http://schemas.openxmlformats.org/officeDocument/2006/relationships/worksheet" Target="/xl/worksheets/sheet8.xml" Id="R4ee5bbb3b35b4544" /><Relationship Type="http://schemas.openxmlformats.org/officeDocument/2006/relationships/worksheet" Target="/xl/worksheets/sheet9.xml" Id="Ra1cf6f3738ff4dad" /><Relationship Type="http://schemas.openxmlformats.org/officeDocument/2006/relationships/worksheet" Target="/xl/worksheets/sheet10.xml" Id="R774bd8f0f4e149d4" /><Relationship Type="http://schemas.openxmlformats.org/officeDocument/2006/relationships/worksheet" Target="/xl/worksheets/sheet11.xml" Id="R4daa2ee4e4c4423b" /><Relationship Type="http://schemas.openxmlformats.org/officeDocument/2006/relationships/worksheet" Target="/xl/worksheets/sheet12.xml" Id="Rcb221199c5fb4e24" /><Relationship Type="http://schemas.openxmlformats.org/officeDocument/2006/relationships/worksheet" Target="/xl/worksheets/sheet13.xml" Id="Rb2e4a182300f4b8d" /><Relationship Type="http://schemas.openxmlformats.org/officeDocument/2006/relationships/worksheet" Target="/xl/worksheets/sheet14.xml" Id="R92afb4bca3224acb" /><Relationship Type="http://schemas.openxmlformats.org/officeDocument/2006/relationships/worksheet" Target="/xl/worksheets/sheet15.xml" Id="Rd31f007b850642b2" /><Relationship Type="http://schemas.openxmlformats.org/officeDocument/2006/relationships/worksheet" Target="/xl/worksheets/sheet16.xml" Id="R757b2b8ff61e47be" /><Relationship Type="http://schemas.openxmlformats.org/officeDocument/2006/relationships/worksheet" Target="/xl/worksheets/sheet17.xml" Id="R51b1650f64ce4d7f" /><Relationship Type="http://schemas.openxmlformats.org/officeDocument/2006/relationships/worksheet" Target="/xl/worksheets/sheet18.xml" Id="Rde7f726275204001" /><Relationship Type="http://schemas.openxmlformats.org/officeDocument/2006/relationships/worksheet" Target="/xl/worksheets/sheet19.xml" Id="R7e734c82bdae4765" /><Relationship Type="http://schemas.openxmlformats.org/officeDocument/2006/relationships/worksheet" Target="/xl/worksheets/sheet20.xml" Id="R65ded14084254200" /><Relationship Type="http://schemas.openxmlformats.org/officeDocument/2006/relationships/worksheet" Target="/xl/worksheets/sheet21.xml" Id="R54657e17912549fe" /><Relationship Type="http://schemas.openxmlformats.org/officeDocument/2006/relationships/worksheet" Target="/xl/worksheets/sheet22.xml" Id="R353d1708496744d7" /><Relationship Type="http://schemas.openxmlformats.org/officeDocument/2006/relationships/worksheet" Target="/xl/worksheets/sheet23.xml" Id="R96ffb75cfa124c4e" /><Relationship Type="http://schemas.openxmlformats.org/officeDocument/2006/relationships/worksheet" Target="/xl/worksheets/sheet24.xml" Id="R58bb131149a04d8a" /><Relationship Type="http://schemas.openxmlformats.org/officeDocument/2006/relationships/worksheet" Target="/xl/worksheets/sheet25.xml" Id="Rdfbcba027c7c455a" /><Relationship Type="http://schemas.openxmlformats.org/officeDocument/2006/relationships/worksheet" Target="/xl/worksheets/sheet26.xml" Id="R85e090df4b694704" /></Relationships>
</file>

<file path=xl/tables/table1.xml><?xml version="1.0" encoding="utf-8"?>
<x:table xmlns:x="http://schemas.openxmlformats.org/spreadsheetml/2006/main" id="1" name="00CommandDashboardTable" displayName="00CommandDashboardTable" ref="A2:F11" headerRowCount="1">
  <x:tableColumns count="6">
    <x:tableColumn id="1" name="Control"/>
    <x:tableColumn id="2" name="Value"/>
    <x:tableColumn id="3" name="Target / Formula"/>
    <x:tableColumn id="4" name="Owner"/>
    <x:tableColumn id="5" name="Status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01StackRegistryTable" displayName="01StackRegistryTable" ref="A2:G22" headerRowCount="1">
  <x:tableColumns count="7">
    <x:tableColumn id="1" name="Layer"/>
    <x:tableColumn id="2" name="System"/>
    <x:tableColumn id="3" name="Purpose"/>
    <x:tableColumn id="4" name="Autonomous Use"/>
    <x:tableColumn id="5" name="Approval Required"/>
    <x:tableColumn id="6" name="Verification Status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02MCPCapabilityRegistryTable" displayName="02MCPCapabilityRegistryTable" ref="A2:I12" headerRowCount="1">
  <x:tableColumns count="9">
    <x:tableColumn id="1" name="Connection"/>
    <x:tableColumn id="2" name="Category"/>
    <x:tableColumn id="3" name="Allowed Autonomous Actions"/>
    <x:tableColumn id="4" name="Approval-Gated Actions"/>
    <x:tableColumn id="5" name="Forbidden Actions"/>
    <x:tableColumn id="6" name="Risk"/>
    <x:tableColumn id="7" name="Cost Cap"/>
    <x:tableColumn id="8" name="Owner Worker"/>
    <x:tableColumn id="9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03OperatingModesTable" displayName="03OperatingModesTable" ref="A2:F16" headerRowCount="1">
  <x:tableColumns count="6">
    <x:tableColumn id="1" name="Mode"/>
    <x:tableColumn id="2" name="Purpose"/>
    <x:tableColumn id="3" name="Inputs"/>
    <x:tableColumn id="4" name="Outputs"/>
    <x:tableColumn id="5" name="Autonomous?"/>
    <x:tableColumn id="6" name="Approval Gate"/>
  </x:tableColumns>
  <x:tableStyleInfo name="TableStyleMedium2" showRowStripes="1"/>
</x:table>
</file>

<file path=xl/tables/table5.xml><?xml version="1.0" encoding="utf-8"?>
<x:table xmlns:x="http://schemas.openxmlformats.org/spreadsheetml/2006/main" id="5" name="04CandidateResearchTable" displayName="04CandidateResearchTable" ref="A2:P12" headerRowCount="1">
  <x:tableColumns count="16">
    <x:tableColumn id="1" name="Candidate"/>
    <x:tableColumn id="2" name="Category"/>
    <x:tableColumn id="3" name="Primary Desire"/>
    <x:tableColumn id="4" name="Trend Demand"/>
    <x:tableColumn id="5" name="Social Virality"/>
    <x:tableColumn id="6" name="Buyer Desire"/>
    <x:tableColumn id="7" name="Speed Launch"/>
    <x:tableColumn id="8" name="Stack Fit"/>
    <x:tableColumn id="9" name="Margin"/>
    <x:tableColumn id="10" name="Fulfillment Difficulty"/>
    <x:tableColumn id="11" name="Compliance Risk"/>
    <x:tableColumn id="12" name="Price Model"/>
    <x:tableColumn id="13" name="Revenue Type"/>
    <x:tableColumn id="14" name="Stack Match"/>
    <x:tableColumn id="15" name="Notes"/>
    <x:tableColumn id="16" name="Score"/>
  </x:tableColumns>
  <x:tableStyleInfo name="TableStyleMedium2" showRowStripes="1"/>
</x:table>
</file>

<file path=xl/tables/table6.xml><?xml version="1.0" encoding="utf-8"?>
<x:table xmlns:x="http://schemas.openxmlformats.org/spreadsheetml/2006/main" id="6" name="05$1000InvestmentPlanTable" displayName="05$1000InvestmentPlanTable" ref="A2:F11" headerRowCount="1">
  <x:tableColumns count="6">
    <x:tableColumn id="1" name="Category"/>
    <x:tableColumn id="2" name="Budget"/>
    <x:tableColumn id="3" name="Purpose"/>
    <x:tableColumn id="4" name="Spend Rule"/>
    <x:tableColumn id="5" name="Release Trigger"/>
    <x:tableColumn id="6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06SimulationLabTable" displayName="06SimulationLabTable" ref="A2:M6" headerRowCount="1">
  <x:tableColumns count="13">
    <x:tableColumn id="1" name="Scenario"/>
    <x:tableColumn id="2" name="Posts/Month"/>
    <x:tableColumn id="3" name="Avg Views/Post"/>
    <x:tableColumn id="4" name="CTR"/>
    <x:tableColumn id="5" name="Lead Conv"/>
    <x:tableColumn id="6" name="Sales Conv"/>
    <x:tableColumn id="7" name="AOV"/>
    <x:tableColumn id="8" name="Subscription %"/>
    <x:tableColumn id="9" name="Monthly Sub Price"/>
    <x:tableColumn id="10" name="One-Time Revenue"/>
    <x:tableColumn id="11" name="MRR Added"/>
    <x:tableColumn id="12" name="Monthly Revenue"/>
    <x:tableColumn id="13" name="Annualized Run Rate"/>
  </x:tableColumns>
  <x:tableStyleInfo name="TableStyleMedium2" showRowStripes="1"/>
</x:table>
</file>

<file path=xl/tables/table8.xml><?xml version="1.0" encoding="utf-8"?>
<x:table xmlns:x="http://schemas.openxmlformats.org/spreadsheetml/2006/main" id="8" name="07KeywordTrendLogTable" displayName="07KeywordTrendLogTable" ref="A2:J7" headerRowCount="1">
  <x:tableColumns count="10">
    <x:tableColumn id="1" name="Keyword/Trend"/>
    <x:tableColumn id="2" name="Cluster"/>
    <x:tableColumn id="3" name="Intent"/>
    <x:tableColumn id="4" name="Source Type"/>
    <x:tableColumn id="5" name="Source URL"/>
    <x:tableColumn id="6" name="Search/Trend Signal"/>
    <x:tableColumn id="7" name="Content Angle"/>
    <x:tableColumn id="8" name="Offer Match"/>
    <x:tableColumn id="9" name="Status"/>
    <x:tableColumn id="10" name="Last Checked"/>
  </x:tableColumns>
  <x:tableStyleInfo name="TableStyleMedium2" showRowStripes="1"/>
</x:table>
</file>

<file path=xl/tables/table9.xml><?xml version="1.0" encoding="utf-8"?>
<x:table xmlns:x="http://schemas.openxmlformats.org/spreadsheetml/2006/main" id="9" name="08HumanPsychologyMatrixTable" displayName="08HumanPsychologyMatrixTable" ref="A2:F12" headerRowCount="1">
  <x:tableColumns count="6">
    <x:tableColumn id="1" name="Desire Trigger"/>
    <x:tableColumn id="2" name="What Humans Want"/>
    <x:tableColumn id="3" name="Safe Content Framing"/>
    <x:tableColumn id="4" name="High-Intent CTA"/>
    <x:tableColumn id="5" name="Risk / Guardrail"/>
    <x:tableColumn id="6" name="Best Offer Types"/>
  </x:tableColumns>
  <x:tableStyleInfo name="TableStyleMedium2" showRowStripes="1"/>
</x:table>
</file>

<file path=xl/tables/table10.xml><?xml version="1.0" encoding="utf-8"?>
<x:table xmlns:x="http://schemas.openxmlformats.org/spreadsheetml/2006/main" id="10" name="09ContentFactoryTable" displayName="09ContentFactoryTable" ref="A2:L5" headerRowCount="1">
  <x:tableColumns count="12">
    <x:tableColumn id="1" name="Content ID"/>
    <x:tableColumn id="2" name="Series"/>
    <x:tableColumn id="3" name="Platform"/>
    <x:tableColumn id="4" name="Avatar"/>
    <x:tableColumn id="5" name="Hook"/>
    <x:tableColumn id="6" name="Script Angle"/>
    <x:tableColumn id="7" name="CTA"/>
    <x:tableColumn id="8" name="Offer"/>
    <x:tableColumn id="9" name="Status"/>
    <x:tableColumn id="10" name="Approval"/>
    <x:tableColumn id="11" name="Post Date"/>
    <x:tableColumn id="12" name="Metrics Link"/>
  </x:tableColumns>
  <x:tableStyleInfo name="TableStyleMedium2" showRowStripes="1"/>
</x:table>
</file>

<file path=xl/tables/table11.xml><?xml version="1.0" encoding="utf-8"?>
<x:table xmlns:x="http://schemas.openxmlformats.org/spreadsheetml/2006/main" id="11" name="10HookBankTable" displayName="10HookBankTable" ref="A2:G14" headerRowCount="1">
  <x:tableColumns count="7">
    <x:tableColumn id="1" name="Hook ID"/>
    <x:tableColumn id="2" name="Hook"/>
    <x:tableColumn id="3" name="Desire Trigger"/>
    <x:tableColumn id="4" name="Offer Match"/>
    <x:tableColumn id="5" name="Format"/>
    <x:tableColumn id="6" name="Status"/>
    <x:tableColumn id="7" name="Approval"/>
  </x:tableColumns>
  <x:tableStyleInfo name="TableStyleMedium2" showRowStripes="1"/>
</x:table>
</file>

<file path=xl/tables/table12.xml><?xml version="1.0" encoding="utf-8"?>
<x:table xmlns:x="http://schemas.openxmlformats.org/spreadsheetml/2006/main" id="12" name="11ParallelWorkerMatrixTable" displayName="11ParallelWorkerMatrixTable" ref="A2:G15" headerRowCount="1">
  <x:tableColumns count="7">
    <x:tableColumn id="1" name="Worker"/>
    <x:tableColumn id="2" name="Purpose"/>
    <x:tableColumn id="3" name="Inputs"/>
    <x:tableColumn id="4" name="Outputs"/>
    <x:tableColumn id="5" name="Autonomy"/>
    <x:tableColumn id="6" name="Approval Gate"/>
    <x:tableColumn id="7" name="KPI"/>
  </x:tableColumns>
  <x:tableStyleInfo name="TableStyleMedium2" showRowStripes="1"/>
</x:table>
</file>

<file path=xl/tables/table13.xml><?xml version="1.0" encoding="utf-8"?>
<x:table xmlns:x="http://schemas.openxmlformats.org/spreadsheetml/2006/main" id="13" name="12GovernanceGatesTable" displayName="12GovernanceGatesTable" ref="A2:F14" headerRowCount="1">
  <x:tableColumns count="6">
    <x:tableColumn id="1" name="Action"/>
    <x:tableColumn id="2" name="Autonomous?"/>
    <x:tableColumn id="3" name="Approval Required?"/>
    <x:tableColumn id="4" name="Reason"/>
    <x:tableColumn id="5" name="Gate Owner"/>
    <x:tableColumn id="6" name="Status"/>
  </x:tableColumns>
  <x:tableStyleInfo name="TableStyleMedium2" showRowStripes="1"/>
</x:table>
</file>

<file path=xl/tables/table14.xml><?xml version="1.0" encoding="utf-8"?>
<x:table xmlns:x="http://schemas.openxmlformats.org/spreadsheetml/2006/main" id="14" name="13Vercel247LoopTable" displayName="13Vercel247LoopTable" ref="A2:F9" headerRowCount="1">
  <x:tableColumns count="6">
    <x:tableColumn id="1" name="Component"/>
    <x:tableColumn id="2" name="Role"/>
    <x:tableColumn id="3" name="Cadence"/>
    <x:tableColumn id="4" name="Allowed Actions"/>
    <x:tableColumn id="5" name="Blocked Actions"/>
    <x:tableColumn id="6" name="Output"/>
  </x:tableColumns>
  <x:tableStyleInfo name="TableStyleMedium2" showRowStripes="1"/>
</x:table>
</file>

<file path=xl/tables/table15.xml><?xml version="1.0" encoding="utf-8"?>
<x:table xmlns:x="http://schemas.openxmlformats.org/spreadsheetml/2006/main" id="15" name="14LeadGenerationOSTable" displayName="14LeadGenerationOSTable" ref="A2:H7" headerRowCount="1">
  <x:tableColumns count="8">
    <x:tableColumn id="1" name="Lead Source"/>
    <x:tableColumn id="2" name="Target"/>
    <x:tableColumn id="3" name="Offer"/>
    <x:tableColumn id="4" name="Lead Magnet"/>
    <x:tableColumn id="5" name="CTA"/>
    <x:tableColumn id="6" name="Automation"/>
    <x:tableColumn id="7" name="Approval"/>
    <x:tableColumn id="8" name="Metric"/>
  </x:tableColumns>
  <x:tableStyleInfo name="TableStyleMedium2" showRowStripes="1"/>
</x:table>
</file>

<file path=xl/tables/table16.xml><?xml version="1.0" encoding="utf-8"?>
<x:table xmlns:x="http://schemas.openxmlformats.org/spreadsheetml/2006/main" id="16" name="15ShopifyStripeFunnelTable" displayName="15ShopifyStripeFunnelTable" ref="A2:G7" headerRowCount="1">
  <x:tableColumns count="7">
    <x:tableColumn id="1" name="Funnel Step"/>
    <x:tableColumn id="2" name="Tool"/>
    <x:tableColumn id="3" name="Asset"/>
    <x:tableColumn id="4" name="Price"/>
    <x:tableColumn id="5" name="Status"/>
    <x:tableColumn id="6" name="Approval"/>
    <x:tableColumn id="7" name="Metric"/>
  </x:tableColumns>
  <x:tableStyleInfo name="TableStyleMedium2" showRowStripes="1"/>
</x:table>
</file>

<file path=xl/tables/table17.xml><?xml version="1.0" encoding="utf-8"?>
<x:table xmlns:x="http://schemas.openxmlformats.org/spreadsheetml/2006/main" id="17" name="16AIMediaTemplatesTable" displayName="16AIMediaTemplatesTable" ref="A2:F8" headerRowCount="1">
  <x:tableColumns count="6">
    <x:tableColumn id="1" name="Template"/>
    <x:tableColumn id="2" name="Use Case"/>
    <x:tableColumn id="3" name="Prompt/Brief Pattern"/>
    <x:tableColumn id="4" name="Tool"/>
    <x:tableColumn id="5" name="CTA"/>
    <x:tableColumn id="6" name="Risk Guardrail"/>
  </x:tableColumns>
  <x:tableStyleInfo name="TableStyleMedium2" showRowStripes="1"/>
</x:table>
</file>

<file path=xl/tables/table18.xml><?xml version="1.0" encoding="utf-8"?>
<x:table xmlns:x="http://schemas.openxmlformats.org/spreadsheetml/2006/main" id="18" name="17306090RoadmapTable" displayName="17306090RoadmapTable" ref="A2:F7" headerRowCount="1">
  <x:tableColumns count="6">
    <x:tableColumn id="1" name="Phase"/>
    <x:tableColumn id="2" name="Days"/>
    <x:tableColumn id="3" name="Goal"/>
    <x:tableColumn id="4" name="Deliverables"/>
    <x:tableColumn id="5" name="Success Metric"/>
    <x:tableColumn id="6" name="Decision"/>
  </x:tableColumns>
  <x:tableStyleInfo name="TableStyleMedium2" showRowStripes="1"/>
</x:table>
</file>

<file path=xl/tables/table19.xml><?xml version="1.0" encoding="utf-8"?>
<x:table xmlns:x="http://schemas.openxmlformats.org/spreadsheetml/2006/main" id="19" name="19SourceRegistryTable" displayName="19SourceRegistryTable" ref="A2:E12" headerRowCount="1">
  <x:tableColumns count="5">
    <x:tableColumn id="1" name="Source"/>
    <x:tableColumn id="2" name="Type"/>
    <x:tableColumn id="3" name="URL / Location"/>
    <x:tableColumn id="4" name="Use"/>
    <x:tableColumn id="5" name="Status"/>
  </x:tableColumns>
  <x:tableStyleInfo name="TableStyleMedium2" showRowStripes="1"/>
</x:table>
</file>

<file path=xl/tables/table20.xml><?xml version="1.0" encoding="utf-8"?>
<x:table xmlns:x="http://schemas.openxmlformats.org/spreadsheetml/2006/main" id="20" name="ScheduleControlTable" displayName="ScheduleControlTable" ref="A2:L9" headerRowCount="1">
  <x:tableColumns count="12">
    <x:tableColumn id="1" name="Schedule ID"/>
    <x:tableColumn id="2" name="Cadence"/>
    <x:tableColumn id="3" name="Trigger"/>
    <x:tableColumn id="4" name="Time Window"/>
    <x:tableColumn id="5" name="Workflow"/>
    <x:tableColumn id="6" name="Owner Worker"/>
    <x:tableColumn id="7" name="Autonomous Allowed"/>
    <x:tableColumn id="8" name="Approval Required"/>
    <x:tableColumn id="9" name="Cost Cap"/>
    <x:tableColumn id="10" name="Success Metric"/>
    <x:tableColumn id="11" name="Status"/>
    <x:tableColumn id="12" name="Notes"/>
  </x:tableColumns>
  <x:tableStyleInfo name="TableStyleMedium2" showRowStripes="1"/>
</x:table>
</file>

<file path=xl/tables/table21.xml><?xml version="1.0" encoding="utf-8"?>
<x:table xmlns:x="http://schemas.openxmlformats.org/spreadsheetml/2006/main" id="21" name="MasterTaskQueueTable" displayName="MasterTaskQueueTable" ref="A2:T12" headerRowCount="1">
  <x:tableColumns count="20">
    <x:tableColumn id="1" name="Task ID"/>
    <x:tableColumn id="2" name="Created"/>
    <x:tableColumn id="3" name="Priority"/>
    <x:tableColumn id="4" name="Status"/>
    <x:tableColumn id="5" name="Mode"/>
    <x:tableColumn id="6" name="Worker"/>
    <x:tableColumn id="7" name="Workflow"/>
    <x:tableColumn id="8" name="Task Prompt"/>
    <x:tableColumn id="9" name="Input Source"/>
    <x:tableColumn id="10" name="Output Destination"/>
    <x:tableColumn id="11" name="Approval Required"/>
    <x:tableColumn id="12" name="Cost Cap"/>
    <x:tableColumn id="13" name="Due"/>
    <x:tableColumn id="14" name="Dependency"/>
    <x:tableColumn id="15" name="Success Criteria"/>
    <x:tableColumn id="16" name="Revenue Impact Score"/>
    <x:tableColumn id="17" name="Risk Score"/>
    <x:tableColumn id="18" name="Next Action"/>
    <x:tableColumn id="19" name="Result Link"/>
    <x:tableColumn id="20" name="Notes"/>
  </x:tableColumns>
  <x:tableStyleInfo name="TableStyleMedium2" showRowStripes="1"/>
</x:table>
</file>

<file path=xl/tables/table22.xml><?xml version="1.0" encoding="utf-8"?>
<x:table xmlns:x="http://schemas.openxmlformats.org/spreadsheetml/2006/main" id="22" name="WorkerQueuesTable" displayName="WorkerQueuesTable" ref="A2:L13" headerRowCount="1">
  <x:tableColumns count="12">
    <x:tableColumn id="1" name="Worker"/>
    <x:tableColumn id="2" name="Queue Type"/>
    <x:tableColumn id="3" name="Current Capacity"/>
    <x:tableColumn id="4" name="Max Parallel"/>
    <x:tableColumn id="5" name="Active Tasks"/>
    <x:tableColumn id="6" name="Queued Tasks"/>
    <x:tableColumn id="7" name="Blocked Tasks"/>
    <x:tableColumn id="8" name="Cost Cap/Day"/>
    <x:tableColumn id="9" name="Primary Inputs"/>
    <x:tableColumn id="10" name="Primary Outputs"/>
    <x:tableColumn id="11" name="Escalation Rule"/>
    <x:tableColumn id="12" name="Status"/>
  </x:tableColumns>
  <x:tableStyleInfo name="TableStyleMedium2" showRowStripes="1"/>
</x:table>
</file>

<file path=xl/tables/table23.xml><?xml version="1.0" encoding="utf-8"?>
<x:table xmlns:x="http://schemas.openxmlformats.org/spreadsheetml/2006/main" id="23" name="ContentScheduleTable" displayName="ContentScheduleTable" ref="A2:T23" headerRowCount="1">
  <x:tableColumns count="20">
    <x:tableColumn id="1" name="Post ID"/>
    <x:tableColumn id="2" name="Campaign"/>
    <x:tableColumn id="3" name="Platform"/>
    <x:tableColumn id="4" name="Account"/>
    <x:tableColumn id="5" name="Date"/>
    <x:tableColumn id="6" name="Time"/>
    <x:tableColumn id="7" name="Status"/>
    <x:tableColumn id="8" name="Hook ID"/>
    <x:tableColumn id="9" name="Script ID"/>
    <x:tableColumn id="10" name="Avatar"/>
    <x:tableColumn id="11" name="Format"/>
    <x:tableColumn id="12" name="CTA"/>
    <x:tableColumn id="13" name="Funnel URL"/>
    <x:tableColumn id="14" name="Approval"/>
    <x:tableColumn id="15" name="Performance Due"/>
    <x:tableColumn id="16" name="Views"/>
    <x:tableColumn id="17" name="Clicks"/>
    <x:tableColumn id="18" name="Leads"/>
    <x:tableColumn id="19" name="Sales"/>
    <x:tableColumn id="20" name="Next Variant"/>
  </x:tableColumns>
  <x:tableStyleInfo name="TableStyleMedium2" showRowStripes="1"/>
</x:table>
</file>

<file path=xl/tables/table24.xml><?xml version="1.0" encoding="utf-8"?>
<x:table xmlns:x="http://schemas.openxmlformats.org/spreadsheetml/2006/main" id="24" name="ApprovalQueueTable" displayName="ApprovalQueueTable" ref="A2:M5" headerRowCount="1">
  <x:tableColumns count="13">
    <x:tableColumn id="1" name="Approval ID"/>
    <x:tableColumn id="2" name="Requested"/>
    <x:tableColumn id="3" name="Requested By"/>
    <x:tableColumn id="4" name="Action Type"/>
    <x:tableColumn id="5" name="Object"/>
    <x:tableColumn id="6" name="Risk Level"/>
    <x:tableColumn id="7" name="Revenue Impact"/>
    <x:tableColumn id="8" name="Cost Impact"/>
    <x:tableColumn id="9" name="Approval Requirement"/>
    <x:tableColumn id="10" name="Status"/>
    <x:tableColumn id="11" name="Decision By"/>
    <x:tableColumn id="12" name="Decision Date"/>
    <x:tableColumn id="13" name="Notes"/>
  </x:tableColumns>
  <x:tableStyleInfo name="TableStyleMedium2" showRowStripes="1"/>
</x:table>
</file>

<file path=xl/tables/table25.xml><?xml version="1.0" encoding="utf-8"?>
<x:table xmlns:x="http://schemas.openxmlformats.org/spreadsheetml/2006/main" id="25" name="CronRunLogTable" displayName="CronRunLogTable" ref="A2:M14" headerRowCount="1">
  <x:tableColumns count="13">
    <x:tableColumn id="1" name="Run ID"/>
    <x:tableColumn id="2" name="Timestamp"/>
    <x:tableColumn id="3" name="Trigger"/>
    <x:tableColumn id="4" name="Mode"/>
    <x:tableColumn id="5" name="Tasks Scanned"/>
    <x:tableColumn id="6" name="Tasks Created"/>
    <x:tableColumn id="7" name="Tasks Completed"/>
    <x:tableColumn id="8" name="Tasks Blocked"/>
    <x:tableColumn id="9" name="Approvals Pending"/>
    <x:tableColumn id="10" name="Cost Used"/>
    <x:tableColumn id="11" name="Status"/>
    <x:tableColumn id="12" name="Next Run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48d3ce6f4441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075af413ce41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71bd21caf145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6ab24453944e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84d8cd82b9547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833150292fe4f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74f0bf827b947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7468ed0c70548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a9ed42d46bf469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31e1e43981841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ec5d1b54f3e48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658816a376349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a5690f7944b4ec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b80aa1238724fd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460099ce145401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59101cc6fbd453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a34ac886cc1b47e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4f307afb639465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30b584f7cced4f4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745f850e30ba41c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828c231c5302420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8b7540ee36684c3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10fdd78b30f047d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82b94154853d401e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92650b2f25b141c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2" hidden="0" customWidth="1"/>
    <x:col min="5" max="5" width="18" hidden="0" customWidth="1"/>
    <x:col min="6" max="6" width="45" hidden="0" customWidth="1"/>
  </x:cols>
  <x:sheetData>
    <x:row r="1">
      <x:c r="A1" s="34" t="str">
        <x:v>Money Machine Command Dashboard</x:v>
      </x:c>
      <x:c r="B1" s="34"/>
      <x:c r="C1" s="34"/>
      <x:c r="D1" s="34"/>
      <x:c r="E1" s="34"/>
      <x:c r="F1" s="34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Control</x:v>
      </x:c>
      <x:c r="B2" s="14" t="str">
        <x:v>Value</x:v>
      </x:c>
      <x:c r="C2" s="14" t="str">
        <x:v>Target / Formula</x:v>
      </x:c>
      <x:c r="D2" s="14" t="str">
        <x:v>Owner</x:v>
      </x:c>
      <x:c r="E2" s="14" t="str">
        <x:v>Status</x:v>
      </x:c>
      <x:c r="F2" s="14" t="str">
        <x:v>Notes</x:v>
      </x:c>
    </x:row>
    <x:row r="3">
      <x:c r="A3" s="21" t="str">
        <x:v>Mission</x:v>
      </x:c>
      <x:c r="B3" s="21" t="str">
        <x:v>Turn $1,000 into a scalable revenue engine</x:v>
      </x:c>
      <x:c r="C3" s="21" t="str">
        <x:v>Attention → Leads → Offers → Revenue → Optimization → Replication</x:v>
      </x:c>
      <x:c r="D3" s="21" t="str">
        <x:v>Money Machine</x:v>
      </x:c>
      <x:c r="E3" s="21" t="str">
        <x:v>Active</x:v>
      </x:c>
      <x:c r="F3" s="21" t="str">
        <x:v>Aggressive goal; no guarantee; validate with measurable signals</x:v>
      </x:c>
    </x:row>
    <x:row r="4">
      <x:c r="A4" s="21" t="str">
        <x:v>Year 1 Goal</x:v>
      </x:c>
      <x:c r="B4" s="21" t="n">
        <x:v>1000000</x:v>
      </x:c>
      <x:c r="C4" s="21" t="str">
        <x:v>Gross revenue target</x:v>
      </x:c>
      <x:c r="D4" s="21" t="str">
        <x:v>Operator + Agent</x:v>
      </x:c>
      <x:c r="E4" s="21" t="str">
        <x:v>Target</x:v>
      </x:c>
      <x:c r="F4" s="21" t="str">
        <x:v>Use scenario simulator to track feasibility</x:v>
      </x:c>
    </x:row>
    <x:row r="5">
      <x:c r="A5" s="21" t="str">
        <x:v>Initial Capital</x:v>
      </x:c>
      <x:c r="B5" s="21" t="n">
        <x:v>1000</x:v>
      </x:c>
      <x:c r="C5" s="21" t="str">
        <x:v>Hard launch budget cap</x:v>
      </x:c>
      <x:c r="D5" s="21" t="str">
        <x:v>Operator</x:v>
      </x:c>
      <x:c r="E5" s="21" t="str">
        <x:v>Approved cap</x:v>
      </x:c>
      <x:c r="F5" s="21" t="str">
        <x:v>No paid ads until organic signal</x:v>
      </x:c>
    </x:row>
    <x:row r="6">
      <x:c r="A6" s="21" t="str">
        <x:v>Primary Offer</x:v>
      </x:c>
      <x:c r="B6" s="21" t="str">
        <x:v>Faceless AI Content Machine</x:v>
      </x:c>
      <x:c r="C6" s="21" t="str">
        <x:v>$47→$297→$997→$2,500/mo ladder</x:v>
      </x:c>
      <x:c r="D6" s="21" t="str">
        <x:v>Revenue Mode</x:v>
      </x:c>
      <x:c r="E6" s="21" t="str">
        <x:v>Default</x:v>
      </x:c>
      <x:c r="F6" s="21" t="str">
        <x:v>Default unless data disproves</x:v>
      </x:c>
    </x:row>
    <x:row r="7">
      <x:c r="A7" s="21" t="str">
        <x:v>Primary KPI</x:v>
      </x:c>
      <x:c r="B7" s="21" t="str">
        <x:v>Revenue</x:v>
      </x:c>
      <x:c r="C7" s="21" t="str">
        <x:v>Gross, net, recurring, ROI</x:v>
      </x:c>
      <x:c r="D7" s="21" t="str">
        <x:v>Analytics Worker</x:v>
      </x:c>
      <x:c r="E7" s="21" t="str">
        <x:v>Required</x:v>
      </x:c>
      <x:c r="F7" s="21" t="str">
        <x:v>Stripe/Shopify import where connected</x:v>
      </x:c>
    </x:row>
    <x:row r="8">
      <x:c r="A8" s="21" t="str">
        <x:v>Autonomy Level</x:v>
      </x:c>
      <x:c r="B8" s="21" t="str">
        <x:v>Max safe autonomy</x:v>
      </x:c>
      <x:c r="C8" s="21" t="str">
        <x:v>Research/scoring/drafts/queues/PRs autonomous</x:v>
      </x:c>
      <x:c r="D8" s="21" t="str">
        <x:v>Governance Worker</x:v>
      </x:c>
      <x:c r="E8" s="21" t="str">
        <x:v>Gated</x:v>
      </x:c>
      <x:c r="F8" s="21" t="str">
        <x:v>Publishing, billing, production require approval</x:v>
      </x:c>
    </x:row>
    <x:row r="9">
      <x:c r="A9" s="21" t="str">
        <x:v>Cron Cadence</x:v>
      </x:c>
      <x:c r="B9" s="21" t="str">
        <x:v>5 minutes</x:v>
      </x:c>
      <x:c r="C9" s="21" t="str">
        <x:v>Vercel Cron safe loop</x:v>
      </x:c>
      <x:c r="D9" s="21" t="str">
        <x:v>Vercel Worker</x:v>
      </x:c>
      <x:c r="E9" s="21" t="str">
        <x:v>Planned</x:v>
      </x:c>
      <x:c r="F9" s="21" t="str">
        <x:v>No gated actions without approval</x:v>
      </x:c>
    </x:row>
    <x:row r="10">
      <x:c r="A10" s="21" t="str">
        <x:v>Parallel Workers</x:v>
      </x:c>
      <x:c r="B10" s="21" t="n">
        <x:v>22</x:v>
      </x:c>
      <x:c r="C10" s="21" t="str">
        <x:v>Safe worker queues run concurrently</x:v>
      </x:c>
      <x:c r="D10" s="21" t="str">
        <x:v>Parallel Ops</x:v>
      </x:c>
      <x:c r="E10" s="21" t="str">
        <x:v>Planned</x:v>
      </x:c>
      <x:c r="F10" s="21" t="str">
        <x:v>Cost/rate caps enforced</x:v>
      </x:c>
    </x:row>
    <x:row r="11">
      <x:c r="A11" s="21" t="str">
        <x:v>First 30-Day Signal</x:v>
      </x:c>
      <x:c r="B11" s="21" t="str">
        <x:v>1 sale OR 10 leads OR 50 clicks OR 1k views</x:v>
      </x:c>
      <x:c r="C11" s="21" t="str">
        <x:v>Scale only after signal</x:v>
      </x:c>
      <x:c r="D11" s="21" t="str">
        <x:v>Money Machine</x:v>
      </x:c>
      <x:c r="E11" s="21" t="str">
        <x:v>Pending</x:v>
      </x:c>
      <x:c r="F11" s="21" t="str">
        <x:v>Kill weak tests fast</x:v>
      </x:c>
    </x:row>
    <x:row r="30">
      <x:c r="A30" s="50" t="str">
        <x:v>Schedule + Queue Control</x:v>
      </x:c>
      <x:c r="B30" s="50"/>
      <x:c r="C30" s="50"/>
      <x:c r="D30" s="50"/>
      <x:c r="E30" s="50"/>
      <x:c r="F30" s="50"/>
      <x:c r="G30" s="50"/>
      <x:c r="H30" s="50"/>
    </x:row>
    <x:row r="31">
      <x:c r="A31" s="44" t="str">
        <x:v>Metric</x:v>
      </x:c>
      <x:c r="B31" s="44" t="str">
        <x:v>Formula / Value</x:v>
      </x:c>
      <x:c r="C31" s="44" t="str">
        <x:v>Target</x:v>
      </x:c>
      <x:c r="D31" s="44" t="str">
        <x:v>Status</x:v>
      </x:c>
      <x:c r="E31" s="44" t="str">
        <x:v>Notes</x:v>
      </x:c>
      <x:c r="F31" s="44" t="str"/>
      <x:c r="G31" s="44" t="str"/>
      <x:c r="H31" s="44" t="str"/>
    </x:row>
    <x:row r="32">
      <x:c r="A32" t="str">
        <x:v>Queued Tasks</x:v>
      </x:c>
      <x:c r="B32" t="n">
        <x:f>COUNTIF('21 Master Task Queue'!D:D,"Queued")</x:f>
        <x:v>9</x:v>
      </x:c>
      <x:c r="C32" t="str">
        <x:v>&lt;25</x:v>
      </x:c>
      <x:c r="D32" t="str"/>
      <x:c r="E32" t="str"/>
      <x:c r="F32" t="str"/>
      <x:c r="G32" t="str"/>
      <x:c r="H32" t="str"/>
    </x:row>
    <x:row r="33">
      <x:c r="A33" t="str">
        <x:v>Ready Tasks</x:v>
      </x:c>
      <x:c r="B33" t="n">
        <x:f>COUNTIF('21 Master Task Queue'!D:D,"Ready")</x:f>
        <x:v>1</x:v>
      </x:c>
      <x:c r="C33" t="str">
        <x:v>&gt;0</x:v>
      </x:c>
      <x:c r="D33" t="str"/>
      <x:c r="E33" t="str"/>
      <x:c r="F33" t="str"/>
      <x:c r="G33" t="str"/>
      <x:c r="H33" t="str"/>
    </x:row>
    <x:row r="34">
      <x:c r="A34" t="str">
        <x:v>Blocked Tasks</x:v>
      </x:c>
      <x:c r="B34" t="n">
        <x:f>COUNTIF('21 Master Task Queue'!D:D,"Blocked")</x:f>
        <x:v>0</x:v>
      </x:c>
      <x:c r="C34" t="str">
        <x:v>0</x:v>
      </x:c>
      <x:c r="D34" t="str"/>
      <x:c r="E34" t="str"/>
      <x:c r="F34" t="str"/>
      <x:c r="G34" t="str"/>
      <x:c r="H34" t="str"/>
    </x:row>
    <x:row r="35">
      <x:c r="A35" t="str">
        <x:v>Pending Approvals</x:v>
      </x:c>
      <x:c r="B35" t="n">
        <x:f>COUNTIF('24 Approval Queue'!J:J,"Pending")</x:f>
        <x:v>3</x:v>
      </x:c>
      <x:c r="C35" t="str">
        <x:v>0 after review</x:v>
      </x:c>
      <x:c r="D35" t="str"/>
      <x:c r="E35" t="str"/>
      <x:c r="F35" t="str"/>
      <x:c r="G35" t="str"/>
      <x:c r="H35" t="str"/>
    </x:row>
    <x:row r="36">
      <x:c r="A36" t="str">
        <x:v>Draft Posts</x:v>
      </x:c>
      <x:c r="B36" t="n">
        <x:f>COUNTIF('23 Content Schedule'!G:G,"Draft")</x:f>
        <x:v>21</x:v>
      </x:c>
      <x:c r="C36" t="str">
        <x:v>21/week</x:v>
      </x:c>
      <x:c r="D36" t="str"/>
      <x:c r="E36" t="str"/>
      <x:c r="F36" t="str"/>
      <x:c r="G36" t="str"/>
      <x:c r="H36" t="str"/>
    </x:row>
  </x:sheetData>
  <x:mergeCells>
    <x:mergeCell ref="A1:F1"/>
    <x:mergeCell ref="A30:H30"/>
  </x:mergeCells>
  <x:pageMargins left="0.7" right="0.7" top="0.75" bottom="0.75" header="0.3" footer="0.3"/>
  <x:tableParts count="1">
    <x:tablePart xmlns:r="http://schemas.openxmlformats.org/officeDocument/2006/relationships" r:id="R7c48d3ce6f4441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4" t="str">
        <x:v>Full Stack Registry</x:v>
      </x:c>
      <x:c r="B1" s="34"/>
      <x:c r="C1" s="34"/>
      <x:c r="D1" s="34"/>
      <x:c r="E1" s="34"/>
      <x:c r="F1" s="34"/>
      <x:c r="G1" s="34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Layer</x:v>
      </x:c>
      <x:c r="B2" s="14" t="str">
        <x:v>System</x:v>
      </x:c>
      <x:c r="C2" s="14" t="str">
        <x:v>Purpose</x:v>
      </x:c>
      <x:c r="D2" s="14" t="str">
        <x:v>Autonomous Use</x:v>
      </x:c>
      <x:c r="E2" s="14" t="str">
        <x:v>Approval Required</x:v>
      </x:c>
      <x:c r="F2" s="14" t="str">
        <x:v>Verification Status</x:v>
      </x:c>
      <x:c r="G2" s="14" t="str">
        <x:v>Notes</x:v>
      </x:c>
    </x:row>
    <x:row r="3">
      <x:c r="A3" s="21" t="str">
        <x:v>Parent Orchestration</x:v>
      </x:c>
      <x:c r="B3" s="21" t="str">
        <x:v>AUTO BUILDER</x:v>
      </x:c>
      <x:c r="C3" s="21" t="str">
        <x:v>Governance, continuity, repo workflow</x:v>
      </x:c>
      <x:c r="D3" s="21" t="str">
        <x:v>Read, plan, create branch/PR</x:v>
      </x:c>
      <x:c r="E3" s="21" t="str">
        <x:v>Governance mutations</x:v>
      </x:c>
      <x:c r="F3" s="21" t="str">
        <x:v>Verified by user context</x:v>
      </x:c>
      <x:c r="G3" s="21" t="str">
        <x:v>Parent, not renamed</x:v>
      </x:c>
    </x:row>
    <x:row r="4">
      <x:c r="A4" s="21" t="str">
        <x:v>Brain</x:v>
      </x:c>
      <x:c r="B4" s="21" t="str">
        <x:v>GPT / OpenAI Business</x:v>
      </x:c>
      <x:c r="C4" s="21" t="str">
        <x:v>Reasoning, scripts, scoring, orchestration</x:v>
      </x:c>
      <x:c r="D4" s="21" t="str">
        <x:v>Yes</x:v>
      </x:c>
      <x:c r="E4" s="21" t="str">
        <x:v>Sensitive claims</x:v>
      </x:c>
      <x:c r="F4" s="21" t="str">
        <x:v>User-stated</x:v>
      </x:c>
      <x:c r="G4" s="21" t="str">
        <x:v>Primary intelligence</x:v>
      </x:c>
    </x:row>
    <x:row r="5">
      <x:c r="A5" s="21" t="str">
        <x:v>Bridge</x:v>
      </x:c>
      <x:c r="B5" s="21" t="str">
        <x:v>GPT MCP</x:v>
      </x:c>
      <x:c r="C5" s="21" t="str">
        <x:v>Unified tool/action bridge</x:v>
      </x:c>
      <x:c r="D5" s="21" t="str">
        <x:v>Read/safe actions</x:v>
      </x:c>
      <x:c r="E5" s="21" t="str">
        <x:v>External mutations</x:v>
      </x:c>
      <x:c r="F5" s="21" t="str">
        <x:v>User-stated connected</x:v>
      </x:c>
      <x:c r="G5" s="21" t="str">
        <x:v>Must sync capabilities first</x:v>
      </x:c>
    </x:row>
    <x:row r="6">
      <x:c r="A6" s="21" t="str">
        <x:v>Code</x:v>
      </x:c>
      <x:c r="B6" s="21" t="str">
        <x:v>Codex</x:v>
      </x:c>
      <x:c r="C6" s="21" t="str">
        <x:v>Repo edits, docs, stubs, tests</x:v>
      </x:c>
      <x:c r="D6" s="21" t="str">
        <x:v>Branch/PR only</x:v>
      </x:c>
      <x:c r="E6" s="21" t="str">
        <x:v>Production deploy/env/schema</x:v>
      </x:c>
      <x:c r="F6" s="21" t="str">
        <x:v>User-stated</x:v>
      </x:c>
      <x:c r="G6" s="21" t="str">
        <x:v>Build worker</x:v>
      </x:c>
    </x:row>
    <x:row r="7">
      <x:c r="A7" s="21" t="str">
        <x:v>Browser</x:v>
      </x:c>
      <x:c r="B7" s="21" t="str">
        <x:v>Playwright</x:v>
      </x:c>
      <x:c r="C7" s="21" t="str">
        <x:v>Browser inspection, UI tests, screenshots</x:v>
      </x:c>
      <x:c r="D7" s="21" t="str">
        <x:v>Staging/public pages</x:v>
      </x:c>
      <x:c r="E7" s="21" t="str">
        <x:v>Purchases/social posting</x:v>
      </x:c>
      <x:c r="F7" s="21" t="str">
        <x:v>User-stated</x:v>
      </x:c>
      <x:c r="G7" s="21" t="str">
        <x:v>Verification worker</x:v>
      </x:c>
    </x:row>
    <x:row r="8">
      <x:c r="A8" s="21" t="str">
        <x:v>Versioning</x:v>
      </x:c>
      <x:c r="B8" s="21" t="str">
        <x:v>GitHub</x:v>
      </x:c>
      <x:c r="C8" s="21" t="str">
        <x:v>Branches, PRs, code history</x:v>
      </x:c>
      <x:c r="D8" s="21" t="str">
        <x:v>Create branch/PR</x:v>
      </x:c>
      <x:c r="E8" s="21" t="str">
        <x:v>Protected branch merge</x:v>
      </x:c>
      <x:c r="F8" s="21" t="str">
        <x:v>User-stated</x:v>
      </x:c>
      <x:c r="G8" s="21" t="str">
        <x:v>Repo unresolved here</x:v>
      </x:c>
    </x:row>
    <x:row r="9">
      <x:c r="A9" s="21" t="str">
        <x:v>Runtime</x:v>
      </x:c>
      <x:c r="B9" s="21" t="str">
        <x:v>Vercel Workflows</x:v>
      </x:c>
      <x:c r="C9" s="21" t="str">
        <x:v>Durable workflows</x:v>
      </x:c>
      <x:c r="D9" s="21" t="str">
        <x:v>Safe workflow steps</x:v>
      </x:c>
      <x:c r="E9" s="21" t="str">
        <x:v>Production side effects</x:v>
      </x:c>
      <x:c r="F9" s="21" t="str">
        <x:v>User-stated</x:v>
      </x:c>
      <x:c r="G9" s="21" t="str">
        <x:v>24/7 runner</x:v>
      </x:c>
    </x:row>
    <x:row r="10">
      <x:c r="A10" s="21" t="str">
        <x:v>Trigger</x:v>
      </x:c>
      <x:c r="B10" s="21" t="str">
        <x:v>Vercel Cron</x:v>
      </x:c>
      <x:c r="C10" s="21" t="str">
        <x:v>5-minute loop</x:v>
      </x:c>
      <x:c r="D10" s="21" t="str">
        <x:v>Safe queue checks</x:v>
      </x:c>
      <x:c r="E10" s="21" t="str">
        <x:v>Gated actions</x:v>
      </x:c>
      <x:c r="F10" s="21" t="str">
        <x:v>User-stated</x:v>
      </x:c>
      <x:c r="G10" s="21" t="str">
        <x:v>Continuous operation</x:v>
      </x:c>
    </x:row>
    <x:row r="11">
      <x:c r="A11" s="21" t="str">
        <x:v>Sandbox</x:v>
      </x:c>
      <x:c r="B11" s="21" t="str">
        <x:v>Vercel Sandbox</x:v>
      </x:c>
      <x:c r="C11" s="21" t="str">
        <x:v>Isolated execution</x:v>
      </x:c>
      <x:c r="D11" s="21" t="str">
        <x:v>Safe build/test</x:v>
      </x:c>
      <x:c r="E11" s="21" t="str">
        <x:v>Production mutation</x:v>
      </x:c>
      <x:c r="F11" s="21" t="str">
        <x:v>User-stated</x:v>
      </x:c>
      <x:c r="G11" s="21" t="str">
        <x:v>Replit-like execution</x:v>
      </x:c>
    </x:row>
    <x:row r="12">
      <x:c r="A12" s="21" t="str">
        <x:v>AI Routing</x:v>
      </x:c>
      <x:c r="B12" s="21" t="str">
        <x:v>Vercel AI Gateway</x:v>
      </x:c>
      <x:c r="C12" s="21" t="str">
        <x:v>Model routing/cost visibility</x:v>
      </x:c>
      <x:c r="D12" s="21" t="str">
        <x:v>Read/config drafts</x:v>
      </x:c>
      <x:c r="E12" s="21" t="str">
        <x:v>Billing/config changes</x:v>
      </x:c>
      <x:c r="F12" s="21" t="str">
        <x:v>User-stated</x:v>
      </x:c>
      <x:c r="G12" s="21" t="str">
        <x:v>Model cost control</x:v>
      </x:c>
    </x:row>
    <x:row r="13">
      <x:c r="A13" s="21" t="str">
        <x:v>Database</x:v>
      </x:c>
      <x:c r="B13" s="21" t="str">
        <x:v>Supabase</x:v>
      </x:c>
      <x:c r="C13" s="21" t="str">
        <x:v>State/memory/analytics</x:v>
      </x:c>
      <x:c r="D13" s="21" t="str">
        <x:v>Read/write existing tables if approved</x:v>
      </x:c>
      <x:c r="E13" s="21" t="str">
        <x:v>Schema mutation</x:v>
      </x:c>
      <x:c r="F13" s="21" t="str">
        <x:v>User-stated</x:v>
      </x:c>
      <x:c r="G13" s="21" t="str">
        <x:v>Use only if existing</x:v>
      </x:c>
    </x:row>
    <x:row r="14">
      <x:c r="A14" s="21" t="str">
        <x:v>Storage</x:v>
      </x:c>
      <x:c r="B14" s="21" t="str">
        <x:v>Google Drive</x:v>
      </x:c>
      <x:c r="C14" s="21" t="str">
        <x:v>Canon/workbooks/docs</x:v>
      </x:c>
      <x:c r="D14" s="21" t="str">
        <x:v>Read/write approved workspace</x:v>
      </x:c>
      <x:c r="E14" s="21" t="str">
        <x:v>Canon mutation</x:v>
      </x:c>
      <x:c r="F14" s="21" t="str">
        <x:v>Connector observed</x:v>
      </x:c>
      <x:c r="G14" s="21" t="str">
        <x:v>Contains SWF assets</x:v>
      </x:c>
    </x:row>
    <x:row r="15">
      <x:c r="A15" s="21" t="str">
        <x:v>Sheets</x:v>
      </x:c>
      <x:c r="B15" s="21" t="str">
        <x:v>Google Sheets / Workbook</x:v>
      </x:c>
      <x:c r="C15" s="21" t="str">
        <x:v>Queues, scoring, dashboards</x:v>
      </x:c>
      <x:c r="D15" s="21" t="str">
        <x:v>Workbook updates</x:v>
      </x:c>
      <x:c r="E15" s="21" t="str">
        <x:v>Canon sheet mutation</x:v>
      </x:c>
      <x:c r="F15" s="21" t="str">
        <x:v>Connector observed</x:v>
      </x:c>
      <x:c r="G15" s="21" t="str">
        <x:v>Control plane</x:v>
      </x:c>
    </x:row>
    <x:row r="16">
      <x:c r="A16" s="21" t="str">
        <x:v>Commerce</x:v>
      </x:c>
      <x:c r="B16" s="21" t="str">
        <x:v>Shopify</x:v>
      </x:c>
      <x:c r="C16" s="21" t="str">
        <x:v>Stores/products/funnels</x:v>
      </x:c>
      <x:c r="D16" s="21" t="str">
        <x:v>Drafts</x:v>
      </x:c>
      <x:c r="E16" s="21" t="str">
        <x:v>Production changes</x:v>
      </x:c>
      <x:c r="F16" s="21" t="str">
        <x:v>User-stated</x:v>
      </x:c>
      <x:c r="G16" s="21" t="str">
        <x:v>Content-to-commerce</x:v>
      </x:c>
    </x:row>
    <x:row r="17">
      <x:c r="A17" s="21" t="str">
        <x:v>Payments</x:v>
      </x:c>
      <x:c r="B17" s="21" t="str">
        <x:v>Stripe</x:v>
      </x:c>
      <x:c r="C17" s="21" t="str">
        <x:v>Checkout, subscriptions, retainers</x:v>
      </x:c>
      <x:c r="D17" s="21" t="str">
        <x:v>Draft payment plan</x:v>
      </x:c>
      <x:c r="E17" s="21" t="str">
        <x:v>Product/pricing/billing</x:v>
      </x:c>
      <x:c r="F17" s="21" t="str">
        <x:v>User-stated</x:v>
      </x:c>
      <x:c r="G17" s="21" t="str">
        <x:v>Revenue collection</x:v>
      </x:c>
    </x:row>
    <x:row r="18">
      <x:c r="A18" s="21" t="str">
        <x:v>Avatar</x:v>
      </x:c>
      <x:c r="B18" s="21" t="str">
        <x:v>HeyGen</x:v>
      </x:c>
      <x:c r="C18" s="21" t="str">
        <x:v>Lifelike avatar videos</x:v>
      </x:c>
      <x:c r="D18" s="21" t="str">
        <x:v>Briefs/drafts</x:v>
      </x:c>
      <x:c r="E18" s="21" t="str">
        <x:v>Paid renders/live content</x:v>
      </x:c>
      <x:c r="F18" s="21" t="str">
        <x:v>User-stated</x:v>
      </x:c>
      <x:c r="G18" s="21" t="str">
        <x:v>Content engine</x:v>
      </x:c>
    </x:row>
    <x:row r="19">
      <x:c r="A19" s="21" t="str">
        <x:v>Video</x:v>
      </x:c>
      <x:c r="B19" s="21" t="str">
        <x:v>Opus</x:v>
      </x:c>
      <x:c r="C19" s="21" t="str">
        <x:v>Repurpose clips</x:v>
      </x:c>
      <x:c r="D19" s="21" t="str">
        <x:v>Workflow plans</x:v>
      </x:c>
      <x:c r="E19" s="21" t="str">
        <x:v>Uploads/publishing</x:v>
      </x:c>
      <x:c r="F19" s="21" t="str">
        <x:v>User-stated</x:v>
      </x:c>
      <x:c r="G19" s="21" t="str">
        <x:v>Short-form acceleration</x:v>
      </x:c>
    </x:row>
    <x:row r="20">
      <x:c r="A20" s="21" t="str">
        <x:v>Posting</x:v>
      </x:c>
      <x:c r="B20" s="21" t="str">
        <x:v>Xyla</x:v>
      </x:c>
      <x:c r="C20" s="21" t="str">
        <x:v>Social scheduling/posting</x:v>
      </x:c>
      <x:c r="D20" s="21" t="str">
        <x:v>Schedule drafts</x:v>
      </x:c>
      <x:c r="E20" s="21" t="str">
        <x:v>Live publishing</x:v>
      </x:c>
      <x:c r="F20" s="21" t="str">
        <x:v>User-stated</x:v>
      </x:c>
      <x:c r="G20" s="21" t="str">
        <x:v>Approval before posts</x:v>
      </x:c>
    </x:row>
    <x:row r="21">
      <x:c r="A21" s="21" t="str">
        <x:v>Creative</x:v>
      </x:c>
      <x:c r="B21" s="21" t="str">
        <x:v>AI Image tools</x:v>
      </x:c>
      <x:c r="C21" s="21" t="str">
        <x:v>Images/thumbnails/assets</x:v>
      </x:c>
      <x:c r="D21" s="21" t="str">
        <x:v>Draft assets</x:v>
      </x:c>
      <x:c r="E21" s="21" t="str">
        <x:v>Misleading/rights risk</x:v>
      </x:c>
      <x:c r="F21" s="21" t="str">
        <x:v>User-requested</x:v>
      </x:c>
      <x:c r="G21" s="21" t="str">
        <x:v>Use original/rights-safe</x:v>
      </x:c>
    </x:row>
    <x:row r="22">
      <x:c r="A22" s="21" t="str">
        <x:v>Voice</x:v>
      </x:c>
      <x:c r="B22" s="21" t="str">
        <x:v>AI Voice</x:v>
      </x:c>
      <x:c r="C22" s="21" t="str">
        <x:v>Voiceover/audio</x:v>
      </x:c>
      <x:c r="D22" s="21" t="str">
        <x:v>Draft audio briefs</x:v>
      </x:c>
      <x:c r="E22" s="21" t="str">
        <x:v>Public use risky claims</x:v>
      </x:c>
      <x:c r="F22" s="21" t="str">
        <x:v>Uploaded source</x:v>
      </x:c>
      <x:c r="G22" s="21" t="str">
        <x:v>Use ethically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e075af413ce41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4" t="str">
        <x:v>MCP Capability Registry</x:v>
      </x:c>
      <x:c r="B1" s="34"/>
      <x:c r="C1" s="34"/>
      <x:c r="D1" s="34"/>
      <x:c r="E1" s="34"/>
      <x:c r="F1" s="34"/>
      <x:c r="G1" s="34"/>
      <x:c r="H1" s="34"/>
      <x:c r="I1" s="34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Connection</x:v>
      </x:c>
      <x:c r="B2" s="14" t="str">
        <x:v>Category</x:v>
      </x:c>
      <x:c r="C2" s="14" t="str">
        <x:v>Allowed Autonomous Actions</x:v>
      </x:c>
      <x:c r="D2" s="14" t="str">
        <x:v>Approval-Gated Actions</x:v>
      </x:c>
      <x:c r="E2" s="14" t="str">
        <x:v>Forbidden Actions</x:v>
      </x:c>
      <x:c r="F2" s="14" t="str">
        <x:v>Risk</x:v>
      </x:c>
      <x:c r="G2" s="14" t="str">
        <x:v>Cost Cap</x:v>
      </x:c>
      <x:c r="H2" s="14" t="str">
        <x:v>Owner Worker</x:v>
      </x:c>
      <x:c r="I2" s="14" t="str">
        <x:v>Status</x:v>
      </x:c>
    </x:row>
    <x:row r="3">
      <x:c r="A3" s="21" t="str">
        <x:v>GitHub MCP</x:v>
      </x:c>
      <x:c r="B3" s="21" t="str">
        <x:v>Repo</x:v>
      </x:c>
      <x:c r="C3" s="21" t="str">
        <x:v>Inspect repo, branch, PR draft, non-prod code</x:v>
      </x:c>
      <x:c r="D3" s="21" t="str">
        <x:v>Merge/protected branch</x:v>
      </x:c>
      <x:c r="E3" s="21" t="str">
        <x:v>Bypass review</x:v>
      </x:c>
      <x:c r="F3" s="21" t="str">
        <x:v>Medium</x:v>
      </x:c>
      <x:c r="G3" s="21" t="str">
        <x:v>$0</x:v>
      </x:c>
      <x:c r="H3" s="21" t="str">
        <x:v>Codex Worker</x:v>
      </x:c>
      <x:c r="I3" s="21" t="str">
        <x:v>Sync required</x:v>
      </x:c>
    </x:row>
    <x:row r="4">
      <x:c r="A4" s="21" t="str">
        <x:v>Vercel MCP</x:v>
      </x:c>
      <x:c r="B4" s="21" t="str">
        <x:v>Runtime</x:v>
      </x:c>
      <x:c r="C4" s="21" t="str">
        <x:v>Read deployments, create previews, safe workflows</x:v>
      </x:c>
      <x:c r="D4" s="21" t="str">
        <x:v>Production deploy/env/billing</x:v>
      </x:c>
      <x:c r="E4" s="21" t="str">
        <x:v>Bypass approval</x:v>
      </x:c>
      <x:c r="F4" s="21" t="str">
        <x:v>High</x:v>
      </x:c>
      <x:c r="G4" s="21" t="str">
        <x:v>$50/mo initial</x:v>
      </x:c>
      <x:c r="H4" s="21" t="str">
        <x:v>Vercel Worker</x:v>
      </x:c>
      <x:c r="I4" s="21" t="str">
        <x:v>Sync required</x:v>
      </x:c>
    </x:row>
    <x:row r="5">
      <x:c r="A5" s="21" t="str">
        <x:v>Drive MCP</x:v>
      </x:c>
      <x:c r="B5" s="21" t="str">
        <x:v>Memory</x:v>
      </x:c>
      <x:c r="C5" s="21" t="str">
        <x:v>Read/write Money Machine workbook copy</x:v>
      </x:c>
      <x:c r="D5" s="21" t="str">
        <x:v>Canon mutation</x:v>
      </x:c>
      <x:c r="E5" s="21" t="str">
        <x:v>Delete files</x:v>
      </x:c>
      <x:c r="F5" s="21" t="str">
        <x:v>Medium</x:v>
      </x:c>
      <x:c r="G5" s="21" t="str">
        <x:v>$0</x:v>
      </x:c>
      <x:c r="H5" s="21" t="str">
        <x:v>Memory Worker</x:v>
      </x:c>
      <x:c r="I5" s="21" t="str">
        <x:v>Sync required</x:v>
      </x:c>
    </x:row>
    <x:row r="6">
      <x:c r="A6" s="21" t="str">
        <x:v>Shopify MCP</x:v>
      </x:c>
      <x:c r="B6" s="21" t="str">
        <x:v>Commerce</x:v>
      </x:c>
      <x:c r="C6" s="21" t="str">
        <x:v>Draft products/pages/funnels</x:v>
      </x:c>
      <x:c r="D6" s="21" t="str">
        <x:v>Publish products/theme changes</x:v>
      </x:c>
      <x:c r="E6" s="21" t="str">
        <x:v>Misleading products</x:v>
      </x:c>
      <x:c r="F6" s="21" t="str">
        <x:v>High</x:v>
      </x:c>
      <x:c r="G6" s="21" t="str">
        <x:v>$150 cap</x:v>
      </x:c>
      <x:c r="H6" s="21" t="str">
        <x:v>Shopify Worker</x:v>
      </x:c>
      <x:c r="I6" s="21" t="str">
        <x:v>Sync required</x:v>
      </x:c>
    </x:row>
    <x:row r="7">
      <x:c r="A7" s="21" t="str">
        <x:v>Stripe MCP</x:v>
      </x:c>
      <x:c r="B7" s="21" t="str">
        <x:v>Payments</x:v>
      </x:c>
      <x:c r="C7" s="21" t="str">
        <x:v>Draft offer/payment plan</x:v>
      </x:c>
      <x:c r="D7" s="21" t="str">
        <x:v>Create products/pricing/charges</x:v>
      </x:c>
      <x:c r="E7" s="21" t="str">
        <x:v>Unauthorized billing</x:v>
      </x:c>
      <x:c r="F7" s="21" t="str">
        <x:v>High</x:v>
      </x:c>
      <x:c r="G7" s="21" t="str">
        <x:v>$0 before approval</x:v>
      </x:c>
      <x:c r="H7" s="21" t="str">
        <x:v>Stripe Worker</x:v>
      </x:c>
      <x:c r="I7" s="21" t="str">
        <x:v>Sync required</x:v>
      </x:c>
    </x:row>
    <x:row r="8">
      <x:c r="A8" s="21" t="str">
        <x:v>HeyGen MCP</x:v>
      </x:c>
      <x:c r="B8" s="21" t="str">
        <x:v>Avatar</x:v>
      </x:c>
      <x:c r="C8" s="21" t="str">
        <x:v>Draft avatar briefs/scripts</x:v>
      </x:c>
      <x:c r="D8" s="21" t="str">
        <x:v>Paid render/public use</x:v>
      </x:c>
      <x:c r="E8" s="21" t="str">
        <x:v>Impersonation/exploitative content</x:v>
      </x:c>
      <x:c r="F8" s="21" t="str">
        <x:v>Medium</x:v>
      </x:c>
      <x:c r="G8" s="21" t="str">
        <x:v>$250 cap</x:v>
      </x:c>
      <x:c r="H8" s="21" t="str">
        <x:v>Avatar Worker</x:v>
      </x:c>
      <x:c r="I8" s="21" t="str">
        <x:v>Sync required</x:v>
      </x:c>
    </x:row>
    <x:row r="9">
      <x:c r="A9" s="21" t="str">
        <x:v>Opus MCP</x:v>
      </x:c>
      <x:c r="B9" s="21" t="str">
        <x:v>Video</x:v>
      </x:c>
      <x:c r="C9" s="21" t="str">
        <x:v>Plan repurpose jobs</x:v>
      </x:c>
      <x:c r="D9" s="21" t="str">
        <x:v>Upload/process paid jobs</x:v>
      </x:c>
      <x:c r="E9" s="21" t="str">
        <x:v>Rights violations</x:v>
      </x:c>
      <x:c r="F9" s="21" t="str">
        <x:v>Medium</x:v>
      </x:c>
      <x:c r="G9" s="21" t="str">
        <x:v>$150 cap shared</x:v>
      </x:c>
      <x:c r="H9" s="21" t="str">
        <x:v>Opus Worker</x:v>
      </x:c>
      <x:c r="I9" s="21" t="str">
        <x:v>Sync required</x:v>
      </x:c>
    </x:row>
    <x:row r="10">
      <x:c r="A10" s="21" t="str">
        <x:v>Xyla MCP</x:v>
      </x:c>
      <x:c r="B10" s="21" t="str">
        <x:v>Posting</x:v>
      </x:c>
      <x:c r="C10" s="21" t="str">
        <x:v>Draft schedules/captions</x:v>
      </x:c>
      <x:c r="D10" s="21" t="str">
        <x:v>Publish live/mass post</x:v>
      </x:c>
      <x:c r="E10" s="21" t="str">
        <x:v>Spam/ban evasion</x:v>
      </x:c>
      <x:c r="F10" s="21" t="str">
        <x:v>High</x:v>
      </x:c>
      <x:c r="G10" s="21" t="str">
        <x:v>$150 cap shared</x:v>
      </x:c>
      <x:c r="H10" s="21" t="str">
        <x:v>Xyla Worker</x:v>
      </x:c>
      <x:c r="I10" s="21" t="str">
        <x:v>Sync required</x:v>
      </x:c>
    </x:row>
    <x:row r="11">
      <x:c r="A11" s="21" t="str">
        <x:v>Playwright MCP</x:v>
      </x:c>
      <x:c r="B11" s="21" t="str">
        <x:v>Browser</x:v>
      </x:c>
      <x:c r="C11" s="21" t="str">
        <x:v>Inspect public/staging pages, screenshots</x:v>
      </x:c>
      <x:c r="D11" s="21" t="str">
        <x:v>Purchases/posting/account changes</x:v>
      </x:c>
      <x:c r="E11" s="21" t="str">
        <x:v>Credential abuse</x:v>
      </x:c>
      <x:c r="F11" s="21" t="str">
        <x:v>Medium</x:v>
      </x:c>
      <x:c r="G11" s="21" t="str">
        <x:v>$0</x:v>
      </x:c>
      <x:c r="H11" s="21" t="str">
        <x:v>Verification Worker</x:v>
      </x:c>
      <x:c r="I11" s="21" t="str">
        <x:v>Sync required</x:v>
      </x:c>
    </x:row>
    <x:row r="12">
      <x:c r="A12" s="21" t="str">
        <x:v>Supabase MCP</x:v>
      </x:c>
      <x:c r="B12" s="21" t="str">
        <x:v>State</x:v>
      </x:c>
      <x:c r="C12" s="21" t="str">
        <x:v>Read/write approved existing tables</x:v>
      </x:c>
      <x:c r="D12" s="21" t="str">
        <x:v>Schema mutations/RLS changes</x:v>
      </x:c>
      <x:c r="E12" s="21" t="str">
        <x:v>Data loss</x:v>
      </x:c>
      <x:c r="F12" s="21" t="str">
        <x:v>High</x:v>
      </x:c>
      <x:c r="G12" s="21" t="str">
        <x:v>$0 until verified</x:v>
      </x:c>
      <x:c r="H12" s="21" t="str">
        <x:v>State Worker</x:v>
      </x:c>
      <x:c r="I12" s="21" t="str">
        <x:v>Sync required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271bd21caf145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4" t="str">
        <x:v>Money Machine Operating Modes</x:v>
      </x:c>
      <x:c r="B1" s="34"/>
      <x:c r="C1" s="34"/>
      <x:c r="D1" s="34"/>
      <x:c r="E1" s="34"/>
      <x:c r="F1" s="34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Mode</x:v>
      </x:c>
      <x:c r="B2" s="14" t="str">
        <x:v>Purpose</x:v>
      </x:c>
      <x:c r="C2" s="14" t="str">
        <x:v>Inputs</x:v>
      </x:c>
      <x:c r="D2" s="14" t="str">
        <x:v>Outputs</x:v>
      </x:c>
      <x:c r="E2" s="14" t="str">
        <x:v>Autonomous?</x:v>
      </x:c>
      <x:c r="F2" s="14" t="str">
        <x:v>Approval Gate</x:v>
      </x:c>
    </x:row>
    <x:row r="3">
      <x:c r="A3" s="21" t="str">
        <x:v>MCP Sync</x:v>
      </x:c>
      <x:c r="B3" s="21" t="str">
        <x:v>Verify connections/capabilities</x:v>
      </x:c>
      <x:c r="C3" s="21" t="str">
        <x:v>MCP tools, connectors</x:v>
      </x:c>
      <x:c r="D3" s="21" t="str">
        <x:v>Capability registry</x:v>
      </x:c>
      <x:c r="E3" s="21" t="str">
        <x:v>Yes</x:v>
      </x:c>
      <x:c r="F3" s="21" t="str">
        <x:v>Mutations blocked</x:v>
      </x:c>
    </x:row>
    <x:row r="4">
      <x:c r="A4" s="21" t="str">
        <x:v>Discover</x:v>
      </x:c>
      <x:c r="B4" s="21" t="str">
        <x:v>Find opportunities and user goal</x:v>
      </x:c>
      <x:c r="C4" s="21" t="str">
        <x:v>Browser, Drive, workbook</x:v>
      </x:c>
      <x:c r="D4" s="21" t="str">
        <x:v>Intent + candidate brief</x:v>
      </x:c>
      <x:c r="E4" s="21" t="str">
        <x:v>Yes</x:v>
      </x:c>
      <x:c r="F4" s="21" t="str">
        <x:v>None</x:v>
      </x:c>
    </x:row>
    <x:row r="5">
      <x:c r="A5" s="21" t="str">
        <x:v>Plan</x:v>
      </x:c>
      <x:c r="B5" s="21" t="str">
        <x:v>Create build/revenue plan</x:v>
      </x:c>
      <x:c r="C5" s="21" t="str">
        <x:v>Goal, stack, evidence</x:v>
      </x:c>
      <x:c r="D5" s="21" t="str">
        <x:v>Architecture/task graph</x:v>
      </x:c>
      <x:c r="E5" s="21" t="str">
        <x:v>Yes</x:v>
      </x:c>
      <x:c r="F5" s="21" t="str">
        <x:v>Build approval</x:v>
      </x:c>
    </x:row>
    <x:row r="6">
      <x:c r="A6" s="21" t="str">
        <x:v>Build</x:v>
      </x:c>
      <x:c r="B6" s="21" t="str">
        <x:v>Create repo/docs/stubs/previews</x:v>
      </x:c>
      <x:c r="C6" s="21" t="str">
        <x:v>Approved plan</x:v>
      </x:c>
      <x:c r="D6" s="21" t="str">
        <x:v>Branch, PR, preview</x:v>
      </x:c>
      <x:c r="E6" s="21" t="str">
        <x:v>Partial</x:v>
      </x:c>
      <x:c r="F6" s="21" t="str">
        <x:v>Requires approval</x:v>
      </x:c>
    </x:row>
    <x:row r="7">
      <x:c r="A7" s="21" t="str">
        <x:v>Preview</x:v>
      </x:c>
      <x:c r="B7" s="21" t="str">
        <x:v>Make outputs inspectable</x:v>
      </x:c>
      <x:c r="C7" s="21" t="str">
        <x:v>Sandbox/build outputs</x:v>
      </x:c>
      <x:c r="D7" s="21" t="str">
        <x:v>Preview/screenshot/report</x:v>
      </x:c>
      <x:c r="E7" s="21" t="str">
        <x:v>Yes</x:v>
      </x:c>
      <x:c r="F7" s="21" t="str">
        <x:v>Production blocked</x:v>
      </x:c>
    </x:row>
    <x:row r="8">
      <x:c r="A8" s="21" t="str">
        <x:v>Verify</x:v>
      </x:c>
      <x:c r="B8" s="21" t="str">
        <x:v>Test and inspect</x:v>
      </x:c>
      <x:c r="C8" s="21" t="str">
        <x:v>Playwright, tests</x:v>
      </x:c>
      <x:c r="D8" s="21" t="str">
        <x:v>Verification report</x:v>
      </x:c>
      <x:c r="E8" s="21" t="str">
        <x:v>Yes</x:v>
      </x:c>
      <x:c r="F8" s="21" t="str">
        <x:v>External actions blocked</x:v>
      </x:c>
    </x:row>
    <x:row r="9">
      <x:c r="A9" s="21" t="str">
        <x:v>Launch</x:v>
      </x:c>
      <x:c r="B9" s="21" t="str">
        <x:v>Publish approved test</x:v>
      </x:c>
      <x:c r="C9" s="21" t="str">
        <x:v>Approved assets</x:v>
      </x:c>
      <x:c r="D9" s="21" t="str">
        <x:v>Live test</x:v>
      </x:c>
      <x:c r="E9" s="21" t="str">
        <x:v>No</x:v>
      </x:c>
      <x:c r="F9" s="21" t="str">
        <x:v>Explicit approval</x:v>
      </x:c>
    </x:row>
    <x:row r="10">
      <x:c r="A10" s="21" t="str">
        <x:v>Operate</x:v>
      </x:c>
      <x:c r="B10" s="21" t="str">
        <x:v>Run 24/7 loop</x:v>
      </x:c>
      <x:c r="C10" s="21" t="str">
        <x:v>Queues, analytics</x:v>
      </x:c>
      <x:c r="D10" s="21" t="str">
        <x:v>Status/actions</x:v>
      </x:c>
      <x:c r="E10" s="21" t="str">
        <x:v>Yes safe</x:v>
      </x:c>
      <x:c r="F10" s="21" t="str">
        <x:v>Gated actions</x:v>
      </x:c>
    </x:row>
    <x:row r="11">
      <x:c r="A11" s="21" t="str">
        <x:v>Optimize</x:v>
      </x:c>
      <x:c r="B11" s="21" t="str">
        <x:v>Improve winners</x:v>
      </x:c>
      <x:c r="C11" s="21" t="str">
        <x:v>Analytics</x:v>
      </x:c>
      <x:c r="D11" s="21" t="str">
        <x:v>New variants</x:v>
      </x:c>
      <x:c r="E11" s="21" t="str">
        <x:v>Yes drafts</x:v>
      </x:c>
      <x:c r="F11" s="21" t="str">
        <x:v>Publish/price gates</x:v>
      </x:c>
    </x:row>
    <x:row r="12">
      <x:c r="A12" s="21" t="str">
        <x:v>Replicate</x:v>
      </x:c>
      <x:c r="B12" s="21" t="str">
        <x:v>Clone winners</x:v>
      </x:c>
      <x:c r="C12" s="21" t="str">
        <x:v>Winner memory</x:v>
      </x:c>
      <x:c r="D12" s="21" t="str">
        <x:v>New test plan</x:v>
      </x:c>
      <x:c r="E12" s="21" t="str">
        <x:v>Yes plan</x:v>
      </x:c>
      <x:c r="F12" s="21" t="str">
        <x:v>Launch approval</x:v>
      </x:c>
    </x:row>
    <x:row r="13">
      <x:c r="A13" s="21" t="str">
        <x:v>Recover</x:v>
      </x:c>
      <x:c r="B13" s="21" t="str">
        <x:v>Self-heal failures</x:v>
      </x:c>
      <x:c r="C13" s="21" t="str">
        <x:v>Logs/errors</x:v>
      </x:c>
      <x:c r="D13" s="21" t="str">
        <x:v>Patch/workaround</x:v>
      </x:c>
      <x:c r="E13" s="21" t="str">
        <x:v>Yes safe</x:v>
      </x:c>
      <x:c r="F13" s="21" t="str">
        <x:v>Risky fixes</x:v>
      </x:c>
    </x:row>
    <x:row r="14">
      <x:c r="A14" s="21" t="str">
        <x:v>Revenue</x:v>
      </x:c>
      <x:c r="B14" s="21" t="str">
        <x:v>Maximize monetization</x:v>
      </x:c>
      <x:c r="C14" s="21" t="str">
        <x:v>Offers/funnels/data</x:v>
      </x:c>
      <x:c r="D14" s="21" t="str">
        <x:v>Revenue actions</x:v>
      </x:c>
      <x:c r="E14" s="21" t="str">
        <x:v>Draft only</x:v>
      </x:c>
      <x:c r="F14" s="21" t="str">
        <x:v>Billing gates</x:v>
      </x:c>
    </x:row>
    <x:row r="15">
      <x:c r="A15" s="21" t="str">
        <x:v>Social Content</x:v>
      </x:c>
      <x:c r="B15" s="21" t="str">
        <x:v>Create content machine</x:v>
      </x:c>
      <x:c r="C15" s="21" t="str">
        <x:v>Trends/hooks/scripts</x:v>
      </x:c>
      <x:c r="D15" s="21" t="str">
        <x:v>Content queue</x:v>
      </x:c>
      <x:c r="E15" s="21" t="str">
        <x:v>Draft only</x:v>
      </x:c>
      <x:c r="F15" s="21" t="str">
        <x:v>Publishing gate</x:v>
      </x:c>
    </x:row>
    <x:row r="16">
      <x:c r="A16" s="21" t="str">
        <x:v>Parallel Ops</x:v>
      </x:c>
      <x:c r="B16" s="21" t="str">
        <x:v>Run safe workers together</x:v>
      </x:c>
      <x:c r="C16" s="21" t="str">
        <x:v>Queues/caps</x:v>
      </x:c>
      <x:c r="D16" s="21" t="str">
        <x:v>Worker results</x:v>
      </x:c>
      <x:c r="E16" s="21" t="str">
        <x:v>Yes safe</x:v>
      </x:c>
      <x:c r="F16" s="21" t="str">
        <x:v>Cost/risk gates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26ab24453944e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8" hidden="0" customWidth="1"/>
    <x:col min="11" max="11" width="16" hidden="0" customWidth="1"/>
    <x:col min="12" max="12" width="18" hidden="0" customWidth="1"/>
    <x:col min="13" max="13" width="18" hidden="0" customWidth="1"/>
    <x:col min="14" max="14" width="28" hidden="0" customWidth="1"/>
    <x:col min="15" max="15" width="35" hidden="0" customWidth="1"/>
    <x:col min="16" max="16" width="12" hidden="0" customWidth="1"/>
  </x:cols>
  <x:sheetData>
    <x:row r="1">
      <x:c r="A1" s="34" t="str">
        <x:v>Candidate Research and Opportunity Scoring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Candidate</x:v>
      </x:c>
      <x:c r="B2" s="14" t="str">
        <x:v>Category</x:v>
      </x:c>
      <x:c r="C2" s="14" t="str">
        <x:v>Primary Desire</x:v>
      </x:c>
      <x:c r="D2" s="14" t="str">
        <x:v>Trend Demand</x:v>
      </x:c>
      <x:c r="E2" s="14" t="str">
        <x:v>Social Virality</x:v>
      </x:c>
      <x:c r="F2" s="14" t="str">
        <x:v>Buyer Desire</x:v>
      </x:c>
      <x:c r="G2" s="14" t="str">
        <x:v>Speed Launch</x:v>
      </x:c>
      <x:c r="H2" s="14" t="str">
        <x:v>Stack Fit</x:v>
      </x:c>
      <x:c r="I2" s="14" t="str">
        <x:v>Margin</x:v>
      </x:c>
      <x:c r="J2" s="14" t="str">
        <x:v>Fulfillment Difficulty</x:v>
      </x:c>
      <x:c r="K2" s="14" t="str">
        <x:v>Compliance Risk</x:v>
      </x:c>
      <x:c r="L2" s="14" t="str">
        <x:v>Price Model</x:v>
      </x:c>
      <x:c r="M2" s="14" t="str">
        <x:v>Revenue Type</x:v>
      </x:c>
      <x:c r="N2" s="14" t="str">
        <x:v>Stack Match</x:v>
      </x:c>
      <x:c r="O2" s="14" t="str">
        <x:v>Notes</x:v>
      </x:c>
      <x:c r="P2" s="14" t="str">
        <x:v>Score</x:v>
      </x:c>
    </x:row>
    <x:row r="3">
      <x:c r="A3" s="21" t="str">
        <x:v>Faceless AI Content Machine</x:v>
      </x:c>
      <x:c r="B3" s="21" t="str">
        <x:v>AI/Creator</x:v>
      </x:c>
      <x:c r="C3" s="21" t="str">
        <x:v>Money, freedom, status</x:v>
      </x:c>
      <x:c r="D3" s="24" t="n">
        <x:v>85</x:v>
      </x:c>
      <x:c r="E3" s="24" t="n">
        <x:v>90</x:v>
      </x:c>
      <x:c r="F3" s="24" t="n">
        <x:v>95</x:v>
      </x:c>
      <x:c r="G3" s="24" t="n">
        <x:v>95</x:v>
      </x:c>
      <x:c r="H3" s="24" t="n">
        <x:v>95</x:v>
      </x:c>
      <x:c r="I3" s="24" t="n">
        <x:v>80</x:v>
      </x:c>
      <x:c r="J3" s="24" t="n">
        <x:v>20</x:v>
      </x:c>
      <x:c r="K3" s="24" t="n">
        <x:v>15</x:v>
      </x:c>
      <x:c r="L3" s="21" t="str">
        <x:v>$47-$2500/mo</x:v>
      </x:c>
      <x:c r="M3" s="21" t="str">
        <x:v>Digital/service</x:v>
      </x:c>
      <x:c r="N3" s="21" t="str">
        <x:v>GPT+HeyGen+Opus+Xyla+Stripe</x:v>
      </x:c>
      <x:c r="O3" s="21" t="str">
        <x:v>Default first test</x:v>
      </x:c>
      <x:c r="P3" s="26" t="n">
        <x:f>((D3*15)+(E3*15)+(F3*15)+(G3*10)+(I3*10)+(H3*10)+(H3*10)+(I3*10)-(J3*5)-(K3*10))/100</x:f>
        <x:v>82.5</x:v>
      </x:c>
    </x:row>
    <x:row r="4">
      <x:c r="A4" s="21" t="str">
        <x:v>Local Business AI Content Retainer</x:v>
      </x:c>
      <x:c r="B4" s="21" t="str">
        <x:v>B2B</x:v>
      </x:c>
      <x:c r="C4" s="21" t="str">
        <x:v>Money, time, security</x:v>
      </x:c>
      <x:c r="D4" s="24" t="n">
        <x:v>75</x:v>
      </x:c>
      <x:c r="E4" s="24" t="n">
        <x:v>70</x:v>
      </x:c>
      <x:c r="F4" s="24" t="n">
        <x:v>90</x:v>
      </x:c>
      <x:c r="G4" s="24" t="n">
        <x:v>70</x:v>
      </x:c>
      <x:c r="H4" s="24" t="n">
        <x:v>95</x:v>
      </x:c>
      <x:c r="I4" s="24" t="n">
        <x:v>90</x:v>
      </x:c>
      <x:c r="J4" s="24" t="n">
        <x:v>35</x:v>
      </x:c>
      <x:c r="K4" s="24" t="n">
        <x:v>20</x:v>
      </x:c>
      <x:c r="L4" s="21" t="str">
        <x:v>$997-$2500/mo</x:v>
      </x:c>
      <x:c r="M4" s="21" t="str">
        <x:v>Service</x:v>
      </x:c>
      <x:c r="N4" s="21" t="str">
        <x:v>GPT+Xyla+Shopify/Stripe</x:v>
      </x:c>
      <x:c r="O4" s="21" t="str">
        <x:v>High ticket, sales needed</x:v>
      </x:c>
      <x:c r="P4" s="26" t="n">
        <x:f>((D4*15)+(E4*15)+(F4*15)+(G4*10)+(I4*10)+(H4*10)+(H4*10)+(I4*10)-(J4*5)-(K4*10))/100</x:f>
        <x:v>75.5</x:v>
      </x:c>
    </x:row>
    <x:row r="5">
      <x:c r="A5" s="21" t="str">
        <x:v>Beauty Glow-Up Avatar Store</x:v>
      </x:c>
      <x:c r="B5" s="21" t="str">
        <x:v>Beauty</x:v>
      </x:c>
      <x:c r="C5" s="21" t="str">
        <x:v>Beauty, attraction, confidence</x:v>
      </x:c>
      <x:c r="D5" s="24" t="n">
        <x:v>85</x:v>
      </x:c>
      <x:c r="E5" s="24" t="n">
        <x:v>92</x:v>
      </x:c>
      <x:c r="F5" s="24" t="n">
        <x:v>95</x:v>
      </x:c>
      <x:c r="G5" s="24" t="n">
        <x:v>70</x:v>
      </x:c>
      <x:c r="H5" s="24" t="n">
        <x:v>75</x:v>
      </x:c>
      <x:c r="I5" s="24" t="n">
        <x:v>75</x:v>
      </x:c>
      <x:c r="J5" s="24" t="n">
        <x:v>55</x:v>
      </x:c>
      <x:c r="K5" s="24" t="n">
        <x:v>45</x:v>
      </x:c>
      <x:c r="L5" s="21" t="str">
        <x:v>$30-$150 AOV</x:v>
      </x:c>
      <x:c r="M5" s="21" t="str">
        <x:v>Shopify/affiliate</x:v>
      </x:c>
      <x:c r="N5" s="21" t="str">
        <x:v>HeyGen+Shopify+Xyla</x:v>
      </x:c>
      <x:c r="O5" s="21" t="str">
        <x:v>Must avoid false body/health claims</x:v>
      </x:c>
      <x:c r="P5" s="26" t="n">
        <x:f>((D5*15)+(E5*15)+(F5*15)+(G5*10)+(I5*10)+(H5*10)+(H5*10)+(I5*10)-(J5*5)-(K5*10))/100</x:f>
        <x:v>70.55</x:v>
      </x:c>
    </x:row>
    <x:row r="6">
      <x:c r="A6" s="21" t="str">
        <x:v>AI Money Workbook Pack</x:v>
      </x:c>
      <x:c r="B6" s="21" t="str">
        <x:v>Digital</x:v>
      </x:c>
      <x:c r="C6" s="21" t="str">
        <x:v>Money, control, transformation</x:v>
      </x:c>
      <x:c r="D6" s="24" t="n">
        <x:v>80</x:v>
      </x:c>
      <x:c r="E6" s="24" t="n">
        <x:v>70</x:v>
      </x:c>
      <x:c r="F6" s="24" t="n">
        <x:v>85</x:v>
      </x:c>
      <x:c r="G6" s="24" t="n">
        <x:v>95</x:v>
      </x:c>
      <x:c r="H6" s="24" t="n">
        <x:v>90</x:v>
      </x:c>
      <x:c r="I6" s="24" t="n">
        <x:v>75</x:v>
      </x:c>
      <x:c r="J6" s="24" t="n">
        <x:v>15</x:v>
      </x:c>
      <x:c r="K6" s="24" t="n">
        <x:v>25</x:v>
      </x:c>
      <x:c r="L6" s="21" t="str">
        <x:v>$47-$297</x:v>
      </x:c>
      <x:c r="M6" s="21" t="str">
        <x:v>Digital</x:v>
      </x:c>
      <x:c r="N6" s="21" t="str">
        <x:v>GPT+Stripe/Shopify</x:v>
      </x:c>
      <x:c r="O6" s="21" t="str">
        <x:v>Low cost</x:v>
      </x:c>
      <x:c r="P6" s="26" t="n">
        <x:f>((D6*15)+(E6*15)+(F6*15)+(G6*10)+(I6*10)+(H6*10)+(H6*10)+(I6*10)-(J6*5)-(K6*10))/100</x:f>
        <x:v>74.5</x:v>
      </x:c>
    </x:row>
    <x:row r="7">
      <x:c r="A7" s="21" t="str">
        <x:v>Creator Starter Kit Affiliate</x:v>
      </x:c>
      <x:c r="B7" s="21" t="str">
        <x:v>Creator</x:v>
      </x:c>
      <x:c r="C7" s="21" t="str">
        <x:v>Status, convenience, money</x:v>
      </x:c>
      <x:c r="D7" s="24" t="n">
        <x:v>65</x:v>
      </x:c>
      <x:c r="E7" s="24" t="n">
        <x:v>75</x:v>
      </x:c>
      <x:c r="F7" s="24" t="n">
        <x:v>80</x:v>
      </x:c>
      <x:c r="G7" s="24" t="n">
        <x:v>85</x:v>
      </x:c>
      <x:c r="H7" s="24" t="n">
        <x:v>85</x:v>
      </x:c>
      <x:c r="I7" s="24" t="n">
        <x:v>70</x:v>
      </x:c>
      <x:c r="J7" s="24" t="n">
        <x:v>30</x:v>
      </x:c>
      <x:c r="K7" s="24" t="n">
        <x:v>20</x:v>
      </x:c>
      <x:c r="L7" s="21" t="str">
        <x:v>5-20% commission</x:v>
      </x:c>
      <x:c r="M7" s="21" t="str">
        <x:v>Affiliate/Shopify</x:v>
      </x:c>
      <x:c r="N7" s="21" t="str">
        <x:v>Content+Affiliate</x:v>
      </x:c>
      <x:c r="O7" s="21" t="str">
        <x:v>Need affiliate partners</x:v>
      </x:c>
      <x:c r="P7" s="26" t="n">
        <x:f>((D7*15)+(E7*15)+(F7*15)+(G7*10)+(I7*10)+(H7*10)+(H7*10)+(I7*10)-(J7*5)-(K7*10))/100</x:f>
        <x:v>69</x:v>
      </x:c>
    </x:row>
    <x:row r="8">
      <x:c r="A8" s="21" t="str">
        <x:v>Fragrance/Status Microbrand</x:v>
      </x:c>
      <x:c r="B8" s="21" t="str">
        <x:v>Commerce</x:v>
      </x:c>
      <x:c r="C8" s="21" t="str">
        <x:v>Status, attraction</x:v>
      </x:c>
      <x:c r="D8" s="24" t="n">
        <x:v>75</x:v>
      </x:c>
      <x:c r="E8" s="24" t="n">
        <x:v>85</x:v>
      </x:c>
      <x:c r="F8" s="24" t="n">
        <x:v>85</x:v>
      </x:c>
      <x:c r="G8" s="24" t="n">
        <x:v>65</x:v>
      </x:c>
      <x:c r="H8" s="24" t="n">
        <x:v>70</x:v>
      </x:c>
      <x:c r="I8" s="24" t="n">
        <x:v>65</x:v>
      </x:c>
      <x:c r="J8" s="24" t="n">
        <x:v>60</x:v>
      </x:c>
      <x:c r="K8" s="24" t="n">
        <x:v>35</x:v>
      </x:c>
      <x:c r="L8" s="21" t="str">
        <x:v>$40-$120 AOV</x:v>
      </x:c>
      <x:c r="M8" s="21" t="str">
        <x:v>Shopify</x:v>
      </x:c>
      <x:c r="N8" s="21" t="str">
        <x:v>Avatar+Shopify</x:v>
      </x:c>
      <x:c r="O8" s="21" t="str">
        <x:v>Supplier/fulfillment risk</x:v>
      </x:c>
      <x:c r="P8" s="26" t="n">
        <x:f>((D8*15)+(E8*15)+(F8*15)+(G8*10)+(I8*10)+(H8*10)+(H8*10)+(I8*10)-(J8*5)-(K8*10))/100</x:f>
        <x:v>63.75</x:v>
      </x:c>
    </x:row>
    <x:row r="9">
      <x:c r="A9" s="21" t="str">
        <x:v>AI Avatar Setup Service</x:v>
      </x:c>
      <x:c r="B9" s="21" t="str">
        <x:v>Service</x:v>
      </x:c>
      <x:c r="C9" s="21" t="str">
        <x:v>Status, money, identity</x:v>
      </x:c>
      <x:c r="D9" s="24" t="n">
        <x:v>70</x:v>
      </x:c>
      <x:c r="E9" s="24" t="n">
        <x:v>80</x:v>
      </x:c>
      <x:c r="F9" s="24" t="n">
        <x:v>85</x:v>
      </x:c>
      <x:c r="G9" s="24" t="n">
        <x:v>75</x:v>
      </x:c>
      <x:c r="H9" s="24" t="n">
        <x:v>95</x:v>
      </x:c>
      <x:c r="I9" s="24" t="n">
        <x:v>80</x:v>
      </x:c>
      <x:c r="J9" s="24" t="n">
        <x:v>25</x:v>
      </x:c>
      <x:c r="K9" s="24" t="n">
        <x:v>20</x:v>
      </x:c>
      <x:c r="L9" s="21" t="str">
        <x:v>$497-$3000</x:v>
      </x:c>
      <x:c r="M9" s="21" t="str">
        <x:v>Service</x:v>
      </x:c>
      <x:c r="N9" s="21" t="str">
        <x:v>HeyGen+GPT</x:v>
      </x:c>
      <x:c r="O9" s="21" t="str">
        <x:v>Good stack fit</x:v>
      </x:c>
      <x:c r="P9" s="26" t="n">
        <x:f>((D9*15)+(E9*15)+(F9*15)+(G9*10)+(I9*10)+(H9*10)+(H9*10)+(I9*10)-(J9*5)-(K9*10))/100</x:f>
        <x:v>74.5</x:v>
      </x:c>
    </x:row>
    <x:row r="10">
      <x:c r="A10" s="21" t="str">
        <x:v>Sleep/Recovery Bundle</x:v>
      </x:c>
      <x:c r="B10" s="21" t="str">
        <x:v>Wellness</x:v>
      </x:c>
      <x:c r="C10" s="21" t="str">
        <x:v>Health, comfort, control</x:v>
      </x:c>
      <x:c r="D10" s="24" t="n">
        <x:v>70</x:v>
      </x:c>
      <x:c r="E10" s="24" t="n">
        <x:v>70</x:v>
      </x:c>
      <x:c r="F10" s="24" t="n">
        <x:v>80</x:v>
      </x:c>
      <x:c r="G10" s="24" t="n">
        <x:v>60</x:v>
      </x:c>
      <x:c r="H10" s="24" t="n">
        <x:v>70</x:v>
      </x:c>
      <x:c r="I10" s="24" t="n">
        <x:v>70</x:v>
      </x:c>
      <x:c r="J10" s="24" t="n">
        <x:v>55</x:v>
      </x:c>
      <x:c r="K10" s="24" t="n">
        <x:v>50</x:v>
      </x:c>
      <x:c r="L10" s="21" t="str">
        <x:v>$40-$200 AOV</x:v>
      </x:c>
      <x:c r="M10" s="21" t="str">
        <x:v>Affiliate/Shopify</x:v>
      </x:c>
      <x:c r="N10" s="21" t="str">
        <x:v>Content+Shopify</x:v>
      </x:c>
      <x:c r="O10" s="21" t="str">
        <x:v>Health claim risk</x:v>
      </x:c>
      <x:c r="P10" s="26" t="n">
        <x:f>((D10*15)+(E10*15)+(F10*15)+(G10*10)+(I10*10)+(H10*10)+(H10*10)+(I10*10)-(J10*5)-(K10*10))/100</x:f>
        <x:v>59.25</x:v>
      </x:c>
    </x:row>
    <x:row r="11">
      <x:c r="A11" s="21" t="str">
        <x:v>AI Job Survival Guide</x:v>
      </x:c>
      <x:c r="B11" s="21" t="str">
        <x:v>Education</x:v>
      </x:c>
      <x:c r="C11" s="21" t="str">
        <x:v>Fear, money, security</x:v>
      </x:c>
      <x:c r="D11" s="24" t="n">
        <x:v>80</x:v>
      </x:c>
      <x:c r="E11" s="24" t="n">
        <x:v>78</x:v>
      </x:c>
      <x:c r="F11" s="24" t="n">
        <x:v>88</x:v>
      </x:c>
      <x:c r="G11" s="24" t="n">
        <x:v>95</x:v>
      </x:c>
      <x:c r="H11" s="24" t="n">
        <x:v>90</x:v>
      </x:c>
      <x:c r="I11" s="24" t="n">
        <x:v>75</x:v>
      </x:c>
      <x:c r="J11" s="24" t="n">
        <x:v>10</x:v>
      </x:c>
      <x:c r="K11" s="24" t="n">
        <x:v>30</x:v>
      </x:c>
      <x:c r="L11" s="21" t="str">
        <x:v>$27-$297</x:v>
      </x:c>
      <x:c r="M11" s="21" t="str">
        <x:v>Digital</x:v>
      </x:c>
      <x:c r="N11" s="21" t="str">
        <x:v>GPT+Stripe</x:v>
      </x:c>
      <x:c r="O11" s="21" t="str">
        <x:v>Strong urgency</x:v>
      </x:c>
      <x:c r="P11" s="26" t="n">
        <x:f>((D11*15)+(E11*15)+(F11*15)+(G11*10)+(I11*10)+(H11*10)+(H11*10)+(I11*10)-(J11*5)-(K11*10))/100</x:f>
        <x:v>75.9</x:v>
      </x:c>
    </x:row>
    <x:row r="12">
      <x:c r="A12" s="21" t="str">
        <x:v>Social SEO Lead Gen System</x:v>
      </x:c>
      <x:c r="B12" s="21" t="str">
        <x:v>B2B</x:v>
      </x:c>
      <x:c r="C12" s="21" t="str">
        <x:v>Money, growth, time</x:v>
      </x:c>
      <x:c r="D12" s="24" t="n">
        <x:v>70</x:v>
      </x:c>
      <x:c r="E12" s="24" t="n">
        <x:v>65</x:v>
      </x:c>
      <x:c r="F12" s="24" t="n">
        <x:v>85</x:v>
      </x:c>
      <x:c r="G12" s="24" t="n">
        <x:v>70</x:v>
      </x:c>
      <x:c r="H12" s="24" t="n">
        <x:v>90</x:v>
      </x:c>
      <x:c r="I12" s="24" t="n">
        <x:v>85</x:v>
      </x:c>
      <x:c r="J12" s="24" t="n">
        <x:v>30</x:v>
      </x:c>
      <x:c r="K12" s="24" t="n">
        <x:v>20</x:v>
      </x:c>
      <x:c r="L12" s="21" t="str">
        <x:v>$997-$5000</x:v>
      </x:c>
      <x:c r="M12" s="21" t="str">
        <x:v>Service</x:v>
      </x:c>
      <x:c r="N12" s="21" t="str">
        <x:v>SWF LeadGen + GPT</x:v>
      </x:c>
      <x:c r="O12" s="21" t="str">
        <x:v>Requires outreach</x:v>
      </x:c>
      <x:c r="P12" s="26" t="n">
        <x:f>((D12*15)+(E12*15)+(F12*15)+(G12*10)+(I12*10)+(H12*10)+(H12*10)+(I12*10)-(J12*5)-(K12*10))/100</x:f>
        <x:v>71.5</x:v>
      </x:c>
    </x:row>
  </x:sheetData>
  <x:mergeCells>
    <x:mergeCell ref="A1:P1"/>
  </x:mergeCells>
  <x:conditionalFormatting sqref="P3:P1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84d8cd82b9547c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34" hidden="0" customWidth="1"/>
    <x:col min="4" max="4" width="32" hidden="0" customWidth="1"/>
    <x:col min="5" max="5" width="24" hidden="0" customWidth="1"/>
    <x:col min="6" max="6" width="16" hidden="0" customWidth="1"/>
  </x:cols>
  <x:sheetData>
    <x:row r="1">
      <x:c r="A1" s="34" t="str">
        <x:v>$1,000 Initial Investment Plan</x:v>
      </x:c>
      <x:c r="B1" s="34"/>
      <x:c r="C1" s="34"/>
      <x:c r="D1" s="34"/>
      <x:c r="E1" s="34"/>
      <x:c r="F1" s="34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Category</x:v>
      </x:c>
      <x:c r="B2" s="14" t="str">
        <x:v>Budget</x:v>
      </x:c>
      <x:c r="C2" s="14" t="str">
        <x:v>Purpose</x:v>
      </x:c>
      <x:c r="D2" s="14" t="str">
        <x:v>Spend Rule</x:v>
      </x:c>
      <x:c r="E2" s="14" t="str">
        <x:v>Release Trigger</x:v>
      </x:c>
      <x:c r="F2" s="14" t="str">
        <x:v>Status</x:v>
      </x:c>
    </x:row>
    <x:row r="3">
      <x:c r="A3" s="21" t="str">
        <x:v>Avatar/video credits</x:v>
      </x:c>
      <x:c r="B3" s="28" t="n">
        <x:v>250</x:v>
      </x:c>
      <x:c r="C3" s="21" t="str">
        <x:v>HeyGen/avatar/AI voice tests</x:v>
      </x:c>
      <x:c r="D3" s="21" t="str">
        <x:v>Use only for approved scripts</x:v>
      </x:c>
      <x:c r="E3" s="21" t="str">
        <x:v>Plan approved</x:v>
      </x:c>
      <x:c r="F3" s="21" t="str">
        <x:v>Reserved</x:v>
      </x:c>
    </x:row>
    <x:row r="4">
      <x:c r="A4" s="21" t="str">
        <x:v>Repurpose/scheduling</x:v>
      </x:c>
      <x:c r="B4" s="28" t="n">
        <x:v>150</x:v>
      </x:c>
      <x:c r="C4" s="21" t="str">
        <x:v>Opus/Xyla scheduling and repurposing</x:v>
      </x:c>
      <x:c r="D4" s="21" t="str">
        <x:v>Draft first; publish after approval</x:v>
      </x:c>
      <x:c r="E4" s="21" t="str">
        <x:v>First 30 scripts ready</x:v>
      </x:c>
      <x:c r="F4" s="21" t="str">
        <x:v>Reserved</x:v>
      </x:c>
    </x:row>
    <x:row r="5">
      <x:c r="A5" s="21" t="str">
        <x:v>Shopify/funnel/domain/apps</x:v>
      </x:c>
      <x:c r="B5" s="28" t="n">
        <x:v>150</x:v>
      </x:c>
      <x:c r="C5" s="21" t="str">
        <x:v>Store/funnel/domain/basic apps</x:v>
      </x:c>
      <x:c r="D5" s="21" t="str">
        <x:v>No production changes before approval</x:v>
      </x:c>
      <x:c r="E5" s="21" t="str">
        <x:v>First offer approved</x:v>
      </x:c>
      <x:c r="F5" s="21" t="str">
        <x:v>Reserved</x:v>
      </x:c>
    </x:row>
    <x:row r="6">
      <x:c r="A6" s="21" t="str">
        <x:v>Research/data tools</x:v>
      </x:c>
      <x:c r="B6" s="28" t="n">
        <x:v>100</x:v>
      </x:c>
      <x:c r="C6" s="21" t="str">
        <x:v>Google Trends/keyword/product validation</x:v>
      </x:c>
      <x:c r="D6" s="21" t="str">
        <x:v>Use free sources first</x:v>
      </x:c>
      <x:c r="E6" s="21" t="str">
        <x:v>Need better data</x:v>
      </x:c>
      <x:c r="F6" s="21" t="str">
        <x:v>Reserved</x:v>
      </x:c>
    </x:row>
    <x:row r="7">
      <x:c r="A7" s="21" t="str">
        <x:v>Design/assets/templates</x:v>
      </x:c>
      <x:c r="B7" s="28" t="n">
        <x:v>100</x:v>
      </x:c>
      <x:c r="C7" s="21" t="str">
        <x:v>Thumbnails, product mockups, brand kit</x:v>
      </x:c>
      <x:c r="D7" s="21" t="str">
        <x:v>Original/rights-safe only</x:v>
      </x:c>
      <x:c r="E7" s="21" t="str">
        <x:v>First funnel draft</x:v>
      </x:c>
      <x:c r="F7" s="21" t="str">
        <x:v>Reserved</x:v>
      </x:c>
    </x:row>
    <x:row r="8">
      <x:c r="A8" s="21" t="str">
        <x:v>Digital product packaging</x:v>
      </x:c>
      <x:c r="B8" s="28" t="n">
        <x:v>100</x:v>
      </x:c>
      <x:c r="C8" s="21" t="str">
        <x:v>Workbook/PDF/checklist/offer assets</x:v>
      </x:c>
      <x:c r="D8" s="21" t="str">
        <x:v>Package first offer</x:v>
      </x:c>
      <x:c r="E8" s="21" t="str">
        <x:v>Offer ladder approved</x:v>
      </x:c>
      <x:c r="F8" s="21" t="str">
        <x:v>Reserved</x:v>
      </x:c>
    </x:row>
    <x:row r="9">
      <x:c r="A9" s="21" t="str">
        <x:v>Emergency microtasks</x:v>
      </x:c>
      <x:c r="B9" s="28" t="n">
        <x:v>100</x:v>
      </x:c>
      <x:c r="C9" s="21" t="str">
        <x:v>Freelancer bottleneck support</x:v>
      </x:c>
      <x:c r="D9" s="21" t="str">
        <x:v>Only for time-critical blocker</x:v>
      </x:c>
      <x:c r="E9" s="21" t="str">
        <x:v>Human approval</x:v>
      </x:c>
      <x:c r="F9" s="21" t="str">
        <x:v>Reserved</x:v>
      </x:c>
    </x:row>
    <x:row r="10">
      <x:c r="A10" s="21" t="str">
        <x:v>Buffer</x:v>
      </x:c>
      <x:c r="B10" s="28" t="n">
        <x:v>50</x:v>
      </x:c>
      <x:c r="C10" s="21" t="str">
        <x:v>Unexpected overage</x:v>
      </x:c>
      <x:c r="D10" s="21" t="str">
        <x:v>Do not use first</x:v>
      </x:c>
      <x:c r="E10" s="21" t="str">
        <x:v>Emergency only</x:v>
      </x:c>
      <x:c r="F10" s="21" t="str">
        <x:v>Reserved</x:v>
      </x:c>
    </x:row>
    <x:row r="11">
      <x:c r="A11" s="21" t="str">
        <x:v>TOTAL</x:v>
      </x:c>
      <x:c r="B11" s="28" t="n">
        <x:v>1000</x:v>
      </x:c>
      <x:c r="C11" s="21" t="str">
        <x:v>Launch cap</x:v>
      </x:c>
      <x:c r="D11" s="21" t="str">
        <x:v>No paid ads until signal</x:v>
      </x:c>
      <x:c r="E11" s="21" t="str">
        <x:v>Organic signal</x:v>
      </x:c>
      <x:c r="F11" s="21" t="str">
        <x:v>Locked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833150292fe4fe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6" hidden="0" customWidth="1"/>
    <x:col min="10" max="10" width="18" hidden="0" customWidth="1"/>
    <x:col min="11" max="11" width="14" hidden="0" customWidth="1"/>
    <x:col min="12" max="12" width="16" hidden="0" customWidth="1"/>
    <x:col min="13" max="13" width="18" hidden="0" customWidth="1"/>
  </x:cols>
  <x:sheetData>
    <x:row r="1">
      <x:c r="A1" s="34" t="str">
        <x:v>Revenue Simulation and Prediction Lab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Scenario</x:v>
      </x:c>
      <x:c r="B2" s="14" t="str">
        <x:v>Posts/Month</x:v>
      </x:c>
      <x:c r="C2" s="14" t="str">
        <x:v>Avg Views/Post</x:v>
      </x:c>
      <x:c r="D2" s="14" t="str">
        <x:v>CTR</x:v>
      </x:c>
      <x:c r="E2" s="14" t="str">
        <x:v>Lead Conv</x:v>
      </x:c>
      <x:c r="F2" s="14" t="str">
        <x:v>Sales Conv</x:v>
      </x:c>
      <x:c r="G2" s="14" t="str">
        <x:v>AOV</x:v>
      </x:c>
      <x:c r="H2" s="14" t="str">
        <x:v>Subscription %</x:v>
      </x:c>
      <x:c r="I2" s="14" t="str">
        <x:v>Monthly Sub Price</x:v>
      </x:c>
      <x:c r="J2" s="14" t="str">
        <x:v>One-Time Revenue</x:v>
      </x:c>
      <x:c r="K2" s="14" t="str">
        <x:v>MRR Added</x:v>
      </x:c>
      <x:c r="L2" s="14" t="str">
        <x:v>Monthly Revenue</x:v>
      </x:c>
      <x:c r="M2" s="14" t="str">
        <x:v>Annualized Run Rate</x:v>
      </x:c>
    </x:row>
    <x:row r="3">
      <x:c r="A3" s="21" t="str">
        <x:v>Conservative</x:v>
      </x:c>
      <x:c r="B3" s="21" t="n">
        <x:v>120</x:v>
      </x:c>
      <x:c r="C3" s="21" t="n">
        <x:v>300</x:v>
      </x:c>
      <x:c r="D3" s="30" t="n">
        <x:v>0.005</x:v>
      </x:c>
      <x:c r="E3" s="30" t="n">
        <x:v>0.1</x:v>
      </x:c>
      <x:c r="F3" s="30" t="n">
        <x:v>0.03</x:v>
      </x:c>
      <x:c r="G3" s="28" t="n">
        <x:v>47</x:v>
      </x:c>
      <x:c r="H3" s="30" t="n">
        <x:v>0.02</x:v>
      </x:c>
      <x:c r="I3" s="28" t="n">
        <x:v>49</x:v>
      </x:c>
      <x:c r="J3" s="28" t="n">
        <x:f>B3*C3*D3*E3*F3*G3</x:f>
        <x:v>25.380000000000003</x:v>
      </x:c>
      <x:c r="K3" s="28" t="n">
        <x:f>B3*C3*D3*E3*F3*H3*I3</x:f>
        <x:v>0.5292</x:v>
      </x:c>
      <x:c r="L3" s="28" t="n">
        <x:f>J3+K3</x:f>
        <x:v>25.909200000000002</x:v>
      </x:c>
      <x:c r="M3" s="28" t="n">
        <x:f>L3*12</x:f>
        <x:v>310.91040000000004</x:v>
      </x:c>
    </x:row>
    <x:row r="4">
      <x:c r="A4" s="21" t="str">
        <x:v>Base</x:v>
      </x:c>
      <x:c r="B4" s="21" t="n">
        <x:v>300</x:v>
      </x:c>
      <x:c r="C4" s="21" t="n">
        <x:v>1000</x:v>
      </x:c>
      <x:c r="D4" s="30" t="n">
        <x:v>0.01</x:v>
      </x:c>
      <x:c r="E4" s="30" t="n">
        <x:v>0.15</x:v>
      </x:c>
      <x:c r="F4" s="30" t="n">
        <x:v>0.04</x:v>
      </x:c>
      <x:c r="G4" s="28" t="n">
        <x:v>97</x:v>
      </x:c>
      <x:c r="H4" s="30" t="n">
        <x:v>0.05</x:v>
      </x:c>
      <x:c r="I4" s="28" t="n">
        <x:v>97</x:v>
      </x:c>
      <x:c r="J4" s="28" t="n">
        <x:f>B4*C4*D4*E4*F4*G4</x:f>
        <x:v>1746</x:v>
      </x:c>
      <x:c r="K4" s="28" t="n">
        <x:f>B4*C4*D4*E4*F4*H4*I4</x:f>
        <x:v>87.3</x:v>
      </x:c>
      <x:c r="L4" s="28" t="n">
        <x:f>J4+K4</x:f>
        <x:v>1833.3</x:v>
      </x:c>
      <x:c r="M4" s="28" t="n">
        <x:f>L4*12</x:f>
        <x:v>21999.6</x:v>
      </x:c>
    </x:row>
    <x:row r="5">
      <x:c r="A5" s="21" t="str">
        <x:v>Aggressive</x:v>
      </x:c>
      <x:c r="B5" s="21" t="n">
        <x:v>600</x:v>
      </x:c>
      <x:c r="C5" s="21" t="n">
        <x:v>2500</x:v>
      </x:c>
      <x:c r="D5" s="30" t="n">
        <x:v>0.015</x:v>
      </x:c>
      <x:c r="E5" s="30" t="n">
        <x:v>0.2</x:v>
      </x:c>
      <x:c r="F5" s="30" t="n">
        <x:v>0.05</x:v>
      </x:c>
      <x:c r="G5" s="28" t="n">
        <x:v>297</x:v>
      </x:c>
      <x:c r="H5" s="30" t="n">
        <x:v>0.08</x:v>
      </x:c>
      <x:c r="I5" s="28" t="n">
        <x:v>199</x:v>
      </x:c>
      <x:c r="J5" s="28" t="n">
        <x:f>B5*C5*D5*E5*F5*G5</x:f>
        <x:v>66825</x:v>
      </x:c>
      <x:c r="K5" s="28" t="n">
        <x:f>B5*C5*D5*E5*F5*H5*I5</x:f>
        <x:v>3582</x:v>
      </x:c>
      <x:c r="L5" s="28" t="n">
        <x:f>J5+K5</x:f>
        <x:v>70407</x:v>
      </x:c>
      <x:c r="M5" s="28" t="n">
        <x:f>L5*12</x:f>
        <x:v>844884</x:v>
      </x:c>
    </x:row>
    <x:row r="6">
      <x:c r="A6" s="21" t="str">
        <x:v>Breakout</x:v>
      </x:c>
      <x:c r="B6" s="21" t="n">
        <x:v>900</x:v>
      </x:c>
      <x:c r="C6" s="21" t="n">
        <x:v>5000</x:v>
      </x:c>
      <x:c r="D6" s="30" t="n">
        <x:v>0.02</x:v>
      </x:c>
      <x:c r="E6" s="30" t="n">
        <x:v>0.25</x:v>
      </x:c>
      <x:c r="F6" s="30" t="n">
        <x:v>0.06</x:v>
      </x:c>
      <x:c r="G6" s="28" t="n">
        <x:v>497</x:v>
      </x:c>
      <x:c r="H6" s="30" t="n">
        <x:v>0.1</x:v>
      </x:c>
      <x:c r="I6" s="28" t="n">
        <x:v>299</x:v>
      </x:c>
      <x:c r="J6" s="28" t="n">
        <x:f>B6*C6*D6*E6*F6*G6</x:f>
        <x:v>670950</x:v>
      </x:c>
      <x:c r="K6" s="28" t="n">
        <x:f>B6*C6*D6*E6*F6*H6*I6</x:f>
        <x:v>40365</x:v>
      </x:c>
      <x:c r="L6" s="28" t="n">
        <x:f>J6+K6</x:f>
        <x:v>711315</x:v>
      </x:c>
      <x:c r="M6" s="28" t="n">
        <x:f>L6*12</x:f>
        <x:v>8535780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174f0bf827b9476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4" hidden="0" customWidth="1"/>
    <x:col min="4" max="4" width="22" hidden="0" customWidth="1"/>
    <x:col min="5" max="5" width="45" hidden="0" customWidth="1"/>
    <x:col min="6" max="6" width="22" hidden="0" customWidth="1"/>
    <x:col min="7" max="7" width="38" hidden="0" customWidth="1"/>
    <x:col min="8" max="8" width="28" hidden="0" customWidth="1"/>
    <x:col min="9" max="9" width="16" hidden="0" customWidth="1"/>
    <x:col min="10" max="10" width="16" hidden="0" customWidth="1"/>
  </x:cols>
  <x:sheetData>
    <x:row r="1">
      <x:c r="A1" s="34" t="str">
        <x:v>Keyword and Online Source Intelligence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Keyword/Trend</x:v>
      </x:c>
      <x:c r="B2" s="14" t="str">
        <x:v>Cluster</x:v>
      </x:c>
      <x:c r="C2" s="14" t="str">
        <x:v>Intent</x:v>
      </x:c>
      <x:c r="D2" s="14" t="str">
        <x:v>Source Type</x:v>
      </x:c>
      <x:c r="E2" s="14" t="str">
        <x:v>Source URL</x:v>
      </x:c>
      <x:c r="F2" s="14" t="str">
        <x:v>Search/Trend Signal</x:v>
      </x:c>
      <x:c r="G2" s="14" t="str">
        <x:v>Content Angle</x:v>
      </x:c>
      <x:c r="H2" s="14" t="str">
        <x:v>Offer Match</x:v>
      </x:c>
      <x:c r="I2" s="14" t="str">
        <x:v>Status</x:v>
      </x:c>
      <x:c r="J2" s="14" t="str">
        <x:v>Last Checked</x:v>
      </x:c>
    </x:row>
    <x:row r="3">
      <x:c r="A3" s="21" t="str">
        <x:v>faceless content</x:v>
      </x:c>
      <x:c r="B3" s="21" t="str">
        <x:v>Creator economy</x:v>
      </x:c>
      <x:c r="C3" s="21" t="str">
        <x:v>Make money without showing face</x:v>
      </x:c>
      <x:c r="D3" s="21" t="str">
        <x:v>Google Trends / social</x:v>
      </x:c>
      <x:c r="E3" s="21" t="str">
        <x:v>https://trends.google.com/trends/</x:v>
      </x:c>
      <x:c r="F3" s="21" t="str">
        <x:v>High-interest concept</x:v>
      </x:c>
      <x:c r="G3" s="21" t="str">
        <x:v>Build faceless brand while sleeping</x:v>
      </x:c>
      <x:c r="H3" s="21" t="str">
        <x:v>Faceless AI Content Machine</x:v>
      </x:c>
      <x:c r="I3" s="21" t="str">
        <x:v>Research</x:v>
      </x:c>
      <x:c r="J3" s="21" t="str"/>
    </x:row>
    <x:row r="4">
      <x:c r="A4" s="21" t="str">
        <x:v>AI automation business</x:v>
      </x:c>
      <x:c r="B4" s="21" t="str">
        <x:v>AI money</x:v>
      </x:c>
      <x:c r="C4" s="21" t="str">
        <x:v>Income leverage</x:v>
      </x:c>
      <x:c r="D4" s="21" t="str">
        <x:v>Google/Search/social</x:v>
      </x:c>
      <x:c r="E4" s="21" t="str">
        <x:v>https://trends.google.com/trends/</x:v>
      </x:c>
      <x:c r="F4" s="21" t="str">
        <x:v>High curiosity</x:v>
      </x:c>
      <x:c r="G4" s="21" t="str">
        <x:v>AI replaces manual work</x:v>
      </x:c>
      <x:c r="H4" s="21" t="str">
        <x:v>AI workbook/setup</x:v>
      </x:c>
      <x:c r="I4" s="21" t="str">
        <x:v>Research</x:v>
      </x:c>
      <x:c r="J4" s="21" t="str"/>
    </x:row>
    <x:row r="5">
      <x:c r="A5" s="21" t="str">
        <x:v>TikTok shop beauty products</x:v>
      </x:c>
      <x:c r="B5" s="21" t="str">
        <x:v>Beauty commerce</x:v>
      </x:c>
      <x:c r="C5" s="21" t="str">
        <x:v>Buy beauty/social proof</x:v>
      </x:c>
      <x:c r="D5" s="21" t="str">
        <x:v>Public reports</x:v>
      </x:c>
      <x:c r="E5" s="21" t="str">
        <x:v>https://www.shopify.com/blog/ecommerce-trends-predictions</x:v>
      </x:c>
      <x:c r="F5" s="21" t="str">
        <x:v>Strong social commerce category</x:v>
      </x:c>
      <x:c r="G5" s="21" t="str">
        <x:v>Avatar glow-up guide</x:v>
      </x:c>
      <x:c r="H5" s="21" t="str">
        <x:v>Shopify beauty/affiliate</x:v>
      </x:c>
      <x:c r="I5" s="21" t="str">
        <x:v>Research</x:v>
      </x:c>
      <x:c r="J5" s="21" t="str"/>
    </x:row>
    <x:row r="6">
      <x:c r="A6" s="21" t="str">
        <x:v>AI avatar video</x:v>
      </x:c>
      <x:c r="B6" s="21" t="str">
        <x:v>Creator tools</x:v>
      </x:c>
      <x:c r="C6" s="21" t="str">
        <x:v>Create content faster</x:v>
      </x:c>
      <x:c r="D6" s="21" t="str">
        <x:v>Search/social</x:v>
      </x:c>
      <x:c r="E6" s="21" t="str">
        <x:v>https://trends.google.com/trends/</x:v>
      </x:c>
      <x:c r="F6" s="21" t="str">
        <x:v>Growing creator tool interest</x:v>
      </x:c>
      <x:c r="G6" s="21" t="str">
        <x:v>Digital twin sells for you</x:v>
      </x:c>
      <x:c r="H6" s="21" t="str">
        <x:v>Avatar setup service</x:v>
      </x:c>
      <x:c r="I6" s="21" t="str">
        <x:v>Research</x:v>
      </x:c>
      <x:c r="J6" s="21" t="str"/>
    </x:row>
    <x:row r="7">
      <x:c r="A7" s="21" t="str">
        <x:v>social media content calendar</x:v>
      </x:c>
      <x:c r="B7" s="21" t="str">
        <x:v>Business marketing</x:v>
      </x:c>
      <x:c r="C7" s="21" t="str">
        <x:v>Save time/grow business</x:v>
      </x:c>
      <x:c r="D7" s="21" t="str">
        <x:v>Search/social</x:v>
      </x:c>
      <x:c r="E7" s="21" t="str">
        <x:v>https://trends.google.com/trends/</x:v>
      </x:c>
      <x:c r="F7" s="21" t="str">
        <x:v>Business pain</x:v>
      </x:c>
      <x:c r="G7" s="21" t="str">
        <x:v>Post 3x/day without burnout</x:v>
      </x:c>
      <x:c r="H7" s="21" t="str">
        <x:v>B2B content retainer</x:v>
      </x:c>
      <x:c r="I7" s="21" t="str">
        <x:v>Research</x:v>
      </x:c>
      <x:c r="J7" s="21" t="str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7468ed0c70548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28" hidden="0" customWidth="1"/>
    <x:col min="5" max="5" width="30" hidden="0" customWidth="1"/>
    <x:col min="6" max="6" width="28" hidden="0" customWidth="1"/>
  </x:cols>
  <x:sheetData>
    <x:row r="1">
      <x:c r="A1" s="34" t="str">
        <x:v>Ethical Human Psychology and Intent Matrix</x:v>
      </x:c>
      <x:c r="B1" s="34"/>
      <x:c r="C1" s="34"/>
      <x:c r="D1" s="34"/>
      <x:c r="E1" s="34"/>
      <x:c r="F1" s="34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Desire Trigger</x:v>
      </x:c>
      <x:c r="B2" s="14" t="str">
        <x:v>What Humans Want</x:v>
      </x:c>
      <x:c r="C2" s="14" t="str">
        <x:v>Safe Content Framing</x:v>
      </x:c>
      <x:c r="D2" s="14" t="str">
        <x:v>High-Intent CTA</x:v>
      </x:c>
      <x:c r="E2" s="14" t="str">
        <x:v>Risk / Guardrail</x:v>
      </x:c>
      <x:c r="F2" s="14" t="str">
        <x:v>Best Offer Types</x:v>
      </x:c>
    </x:row>
    <x:row r="3">
      <x:c r="A3" s="21" t="str">
        <x:v>Money</x:v>
      </x:c>
      <x:c r="B3" s="21" t="str">
        <x:v>Income, leverage, survival</x:v>
      </x:c>
      <x:c r="C3" s="21" t="str">
        <x:v>Show systems, skills, templates, time savings</x:v>
      </x:c>
      <x:c r="D3" s="21" t="str">
        <x:v>Get the checklist / start the system</x:v>
      </x:c>
      <x:c r="E3" s="21" t="str">
        <x:v>No income guarantees</x:v>
      </x:c>
      <x:c r="F3" s="21" t="str">
        <x:v>Digital kits, setup service</x:v>
      </x:c>
    </x:row>
    <x:row r="4">
      <x:c r="A4" s="21" t="str">
        <x:v>Freedom</x:v>
      </x:c>
      <x:c r="B4" s="21" t="str">
        <x:v>Control over time</x:v>
      </x:c>
      <x:c r="C4" s="21" t="str">
        <x:v>Workflows that reduce manual labor</x:v>
      </x:c>
      <x:c r="D4" s="21" t="str">
        <x:v>Automate this workflow</x:v>
      </x:c>
      <x:c r="E4" s="21" t="str">
        <x:v>Avoid unrealistic lifestyle promises</x:v>
      </x:c>
      <x:c r="F4" s="21" t="str">
        <x:v>Automation services</x:v>
      </x:c>
    </x:row>
    <x:row r="5">
      <x:c r="A5" s="21" t="str">
        <x:v>Beauty</x:v>
      </x:c>
      <x:c r="B5" s="21" t="str">
        <x:v>Look/feel better</x:v>
      </x:c>
      <x:c r="C5" s="21" t="str">
        <x:v>Confidence, routine, style, self-care</x:v>
      </x:c>
      <x:c r="D5" s="21" t="str">
        <x:v>See the routine / shop guide</x:v>
      </x:c>
      <x:c r="E5" s="21" t="str">
        <x:v>No false body/health claims</x:v>
      </x:c>
      <x:c r="F5" s="21" t="str">
        <x:v>Beauty/affiliate/store</x:v>
      </x:c>
    </x:row>
    <x:row r="6">
      <x:c r="A6" s="21" t="str">
        <x:v>Status</x:v>
      </x:c>
      <x:c r="B6" s="21" t="str">
        <x:v>Recognition, luxury, identity</x:v>
      </x:c>
      <x:c r="C6" s="21" t="str">
        <x:v>Affordable upgrades, creator/professional image</x:v>
      </x:c>
      <x:c r="D6" s="21" t="str">
        <x:v>Upgrade your setup</x:v>
      </x:c>
      <x:c r="E6" s="21" t="str">
        <x:v>Avoid fake luxury/deception</x:v>
      </x:c>
      <x:c r="F6" s="21" t="str">
        <x:v>Fragrance, creator gear</x:v>
      </x:c>
    </x:row>
    <x:row r="7">
      <x:c r="A7" s="21" t="str">
        <x:v>Attraction</x:v>
      </x:c>
      <x:c r="B7" s="21" t="str">
        <x:v>Confidence/social appeal</x:v>
      </x:c>
      <x:c r="C7" s="21" t="str">
        <x:v>Presentation, grooming, communication</x:v>
      </x:c>
      <x:c r="D7" s="21" t="str">
        <x:v>Improve your profile/look</x:v>
      </x:c>
      <x:c r="E7" s="21" t="str">
        <x:v>Avoid sexual exploitation/manipulation</x:v>
      </x:c>
      <x:c r="F7" s="21" t="str">
        <x:v>Grooming/profile services</x:v>
      </x:c>
    </x:row>
    <x:row r="8">
      <x:c r="A8" s="21" t="str">
        <x:v>Security</x:v>
      </x:c>
      <x:c r="B8" s="21" t="str">
        <x:v>Protection from change</x:v>
      </x:c>
      <x:c r="C8" s="21" t="str">
        <x:v>AI job survival, savings, preparedness</x:v>
      </x:c>
      <x:c r="D8" s="21" t="str">
        <x:v>Get prepared</x:v>
      </x:c>
      <x:c r="E8" s="21" t="str">
        <x:v>Avoid fearmongering</x:v>
      </x:c>
      <x:c r="F8" s="21" t="str">
        <x:v>Education, preparedness</x:v>
      </x:c>
    </x:row>
    <x:row r="9">
      <x:c r="A9" s="21" t="str">
        <x:v>Transformation</x:v>
      </x:c>
      <x:c r="B9" s="21" t="str">
        <x:v>Before/after identity</x:v>
      </x:c>
      <x:c r="C9" s="21" t="str">
        <x:v>Document real journey/progress</x:v>
      </x:c>
      <x:c r="D9" s="21" t="str">
        <x:v>Start the 7-day reset</x:v>
      </x:c>
      <x:c r="E9" s="21" t="str">
        <x:v>No guaranteed results</x:v>
      </x:c>
      <x:c r="F9" s="21" t="str">
        <x:v>Challenges/programs</x:v>
      </x:c>
    </x:row>
    <x:row r="10">
      <x:c r="A10" s="21" t="str">
        <x:v>Belonging</x:v>
      </x:c>
      <x:c r="B10" s="21" t="str">
        <x:v>Community and validation</x:v>
      </x:c>
      <x:c r="C10" s="21" t="str">
        <x:v>Build with others, join movement</x:v>
      </x:c>
      <x:c r="D10" s="21" t="str">
        <x:v>Join the community</x:v>
      </x:c>
      <x:c r="E10" s="21" t="str">
        <x:v>Avoid culty claims</x:v>
      </x:c>
      <x:c r="F10" s="21" t="str">
        <x:v>Membership</x:v>
      </x:c>
    </x:row>
    <x:row r="11">
      <x:c r="A11" s="21" t="str">
        <x:v>Curiosity</x:v>
      </x:c>
      <x:c r="B11" s="21" t="str">
        <x:v>Novelty and discovery</x:v>
      </x:c>
      <x:c r="C11" s="21" t="str">
        <x:v>Watch AI build this, see behind scenes</x:v>
      </x:c>
      <x:c r="D11" s="21" t="str">
        <x:v>See the system</x:v>
      </x:c>
      <x:c r="E11" s="21" t="str">
        <x:v>Avoid clickbait lies</x:v>
      </x:c>
      <x:c r="F11" s="21" t="str">
        <x:v>Content engine</x:v>
      </x:c>
    </x:row>
    <x:row r="12">
      <x:c r="A12" s="21" t="str">
        <x:v>Convenience</x:v>
      </x:c>
      <x:c r="B12" s="21" t="str">
        <x:v>Less effort</x:v>
      </x:c>
      <x:c r="C12" s="21" t="str">
        <x:v>Done-for-you, templates, shortcuts</x:v>
      </x:c>
      <x:c r="D12" s="21" t="str">
        <x:v>Get setup</x:v>
      </x:c>
      <x:c r="E12" s="21" t="str">
        <x:v>Be transparent about limits</x:v>
      </x:c>
      <x:c r="F12" s="21" t="str">
        <x:v>Services/templates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a9ed42d46bf469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8" hidden="0" customWidth="1"/>
    <x:col min="5" max="5" width="42" hidden="0" customWidth="1"/>
    <x:col min="6" max="6" width="40" hidden="0" customWidth="1"/>
    <x:col min="7" max="7" width="24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>
      <x:c r="A1" s="34" t="str">
        <x:v>Content Creation Factory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Content ID</x:v>
      </x:c>
      <x:c r="B2" s="14" t="str">
        <x:v>Series</x:v>
      </x:c>
      <x:c r="C2" s="14" t="str">
        <x:v>Platform</x:v>
      </x:c>
      <x:c r="D2" s="14" t="str">
        <x:v>Avatar</x:v>
      </x:c>
      <x:c r="E2" s="14" t="str">
        <x:v>Hook</x:v>
      </x:c>
      <x:c r="F2" s="14" t="str">
        <x:v>Script Angle</x:v>
      </x:c>
      <x:c r="G2" s="14" t="str">
        <x:v>CTA</x:v>
      </x:c>
      <x:c r="H2" s="14" t="str">
        <x:v>Offer</x:v>
      </x:c>
      <x:c r="I2" s="14" t="str">
        <x:v>Status</x:v>
      </x:c>
      <x:c r="J2" s="14" t="str">
        <x:v>Approval</x:v>
      </x:c>
      <x:c r="K2" s="14" t="str">
        <x:v>Post Date</x:v>
      </x:c>
      <x:c r="L2" s="14" t="str">
        <x:v>Metrics Link</x:v>
      </x:c>
    </x:row>
    <x:row r="3">
      <x:c r="A3" s="21" t="str">
        <x:v>C001</x:v>
      </x:c>
      <x:c r="B3" s="21" t="str">
        <x:v>I Lost My Job and Built the Machine</x:v>
      </x:c>
      <x:c r="C3" s="21" t="str">
        <x:v>IG/FB/TikTok</x:v>
      </x:c>
      <x:c r="D3" s="21" t="str">
        <x:v>Founder Avatar</x:v>
      </x:c>
      <x:c r="E3" s="21" t="str">
        <x:v>I lost my job, so I built an AI worker.</x:v>
      </x:c>
      <x:c r="F3" s="21" t="str">
        <x:v>Origin story and proof of urgency</x:v>
      </x:c>
      <x:c r="G3" s="21" t="str">
        <x:v>Download the free checklist</x:v>
      </x:c>
      <x:c r="H3" s="21" t="str">
        <x:v>Faceless AI Content Machine</x:v>
      </x:c>
      <x:c r="I3" s="21" t="str">
        <x:v>Draft</x:v>
      </x:c>
      <x:c r="J3" s="21" t="str">
        <x:v>Pending</x:v>
      </x:c>
      <x:c r="K3" s="21" t="str"/>
      <x:c r="L3" s="21" t="str"/>
    </x:row>
    <x:row r="4">
      <x:c r="A4" s="21" t="str">
        <x:v>C002</x:v>
      </x:c>
      <x:c r="B4" s="21" t="str">
        <x:v>Social Media Is Free TV</x:v>
      </x:c>
      <x:c r="C4" s="21" t="str">
        <x:v>IG/FB/TikTok</x:v>
      </x:c>
      <x:c r="D4" s="21" t="str">
        <x:v>Creator Coach</x:v>
      </x:c>
      <x:c r="E4" s="21" t="str">
        <x:v>Your phone is free TV if you know what to sell.</x:v>
      </x:c>
      <x:c r="F4" s="21" t="str">
        <x:v>Attention-to-revenue explanation</x:v>
      </x:c>
      <x:c r="G4" s="21" t="str">
        <x:v>Get the workbook</x:v>
      </x:c>
      <x:c r="H4" s="21" t="str">
        <x:v>Money Machine Workbook</x:v>
      </x:c>
      <x:c r="I4" s="21" t="str">
        <x:v>Draft</x:v>
      </x:c>
      <x:c r="J4" s="21" t="str">
        <x:v>Pending</x:v>
      </x:c>
      <x:c r="K4" s="21" t="str"/>
      <x:c r="L4" s="21" t="str"/>
    </x:row>
    <x:row r="5">
      <x:c r="A5" s="21" t="str">
        <x:v>C003</x:v>
      </x:c>
      <x:c r="B5" s="21" t="str">
        <x:v>AI Built This While I Slept</x:v>
      </x:c>
      <x:c r="C5" s="21" t="str">
        <x:v>IG/FB/TikTok</x:v>
      </x:c>
      <x:c r="D5" s="21" t="str">
        <x:v>AI Operator</x:v>
      </x:c>
      <x:c r="E5" s="21" t="str">
        <x:v>This system creates content while I sleep.</x:v>
      </x:c>
      <x:c r="F5" s="21" t="str">
        <x:v>Show 24/7 loop concept</x:v>
      </x:c>
      <x:c r="G5" s="21" t="str">
        <x:v>Join the build</x:v>
      </x:c>
      <x:c r="H5" s="21" t="str">
        <x:v>Starter Kit</x:v>
      </x:c>
      <x:c r="I5" s="21" t="str">
        <x:v>Draft</x:v>
      </x:c>
      <x:c r="J5" s="21" t="str">
        <x:v>Pending</x:v>
      </x:c>
      <x:c r="K5" s="21" t="str"/>
      <x:c r="L5" s="21" t="str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31e1e439818413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20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</x:cols>
  <x:sheetData>
    <x:row r="1">
      <x:c r="A1" s="34" t="str">
        <x:v>Hook Bank</x:v>
      </x:c>
      <x:c r="B1" s="34"/>
      <x:c r="C1" s="34"/>
      <x:c r="D1" s="34"/>
      <x:c r="E1" s="34"/>
      <x:c r="F1" s="34"/>
      <x:c r="G1" s="34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Hook ID</x:v>
      </x:c>
      <x:c r="B2" s="14" t="str">
        <x:v>Hook</x:v>
      </x:c>
      <x:c r="C2" s="14" t="str">
        <x:v>Desire Trigger</x:v>
      </x:c>
      <x:c r="D2" s="14" t="str">
        <x:v>Offer Match</x:v>
      </x:c>
      <x:c r="E2" s="14" t="str">
        <x:v>Format</x:v>
      </x:c>
      <x:c r="F2" s="14" t="str">
        <x:v>Status</x:v>
      </x:c>
      <x:c r="G2" s="14" t="str">
        <x:v>Approval</x:v>
      </x:c>
    </x:row>
    <x:row r="3">
      <x:c r="A3" s="21" t="str">
        <x:v>H001</x:v>
      </x:c>
      <x:c r="B3" s="21" t="str">
        <x:v>I lost my job, so I built an AI employee.</x:v>
      </x:c>
      <x:c r="C3" s="21" t="str">
        <x:v>Money/Freedom</x:v>
      </x:c>
      <x:c r="D3" s="21" t="str">
        <x:v>Faceless AI Content Machine</x:v>
      </x:c>
      <x:c r="E3" s="21" t="str">
        <x:v>Short-form</x:v>
      </x:c>
      <x:c r="F3" s="21" t="str">
        <x:v>Draft</x:v>
      </x:c>
      <x:c r="G3" s="21" t="str">
        <x:v>Pending</x:v>
      </x:c>
    </x:row>
    <x:row r="4">
      <x:c r="A4" s="21" t="str">
        <x:v>H002</x:v>
      </x:c>
      <x:c r="B4" s="21" t="str">
        <x:v>Social media is free TV if you know what to sell.</x:v>
      </x:c>
      <x:c r="C4" s="21" t="str">
        <x:v>Money/Freedom</x:v>
      </x:c>
      <x:c r="D4" s="21" t="str">
        <x:v>Faceless AI Content Machine</x:v>
      </x:c>
      <x:c r="E4" s="21" t="str">
        <x:v>Short-form</x:v>
      </x:c>
      <x:c r="F4" s="21" t="str">
        <x:v>Draft</x:v>
      </x:c>
      <x:c r="G4" s="21" t="str">
        <x:v>Pending</x:v>
      </x:c>
    </x:row>
    <x:row r="5">
      <x:c r="A5" s="21" t="str">
        <x:v>H003</x:v>
      </x:c>
      <x:c r="B5" s="21" t="str">
        <x:v>Most people use GPT to chat. I use it to build systems.</x:v>
      </x:c>
      <x:c r="C5" s="21" t="str">
        <x:v>Money/Freedom</x:v>
      </x:c>
      <x:c r="D5" s="21" t="str">
        <x:v>Faceless AI Content Machine</x:v>
      </x:c>
      <x:c r="E5" s="21" t="str">
        <x:v>Short-form</x:v>
      </x:c>
      <x:c r="F5" s="21" t="str">
        <x:v>Draft</x:v>
      </x:c>
      <x:c r="G5" s="21" t="str">
        <x:v>Pending</x:v>
      </x:c>
    </x:row>
    <x:row r="6">
      <x:c r="A6" s="21" t="str">
        <x:v>H004</x:v>
      </x:c>
      <x:c r="B6" s="21" t="str">
        <x:v>This is how one video becomes a Shopify sale.</x:v>
      </x:c>
      <x:c r="C6" s="21" t="str">
        <x:v>Money/Freedom</x:v>
      </x:c>
      <x:c r="D6" s="21" t="str">
        <x:v>Faceless AI Content Machine</x:v>
      </x:c>
      <x:c r="E6" s="21" t="str">
        <x:v>Short-form</x:v>
      </x:c>
      <x:c r="F6" s="21" t="str">
        <x:v>Draft</x:v>
      </x:c>
      <x:c r="G6" s="21" t="str">
        <x:v>Pending</x:v>
      </x:c>
    </x:row>
    <x:row r="7">
      <x:c r="A7" s="21" t="str">
        <x:v>H005</x:v>
      </x:c>
      <x:c r="B7" s="21" t="str">
        <x:v>You do not need to show your face to build a content business.</x:v>
      </x:c>
      <x:c r="C7" s="21" t="str">
        <x:v>Money/Freedom</x:v>
      </x:c>
      <x:c r="D7" s="21" t="str">
        <x:v>Faceless AI Content Machine</x:v>
      </x:c>
      <x:c r="E7" s="21" t="str">
        <x:v>Short-form</x:v>
      </x:c>
      <x:c r="F7" s="21" t="str">
        <x:v>Draft</x:v>
      </x:c>
      <x:c r="G7" s="21" t="str">
        <x:v>Pending</x:v>
      </x:c>
    </x:row>
    <x:row r="8">
      <x:c r="A8" s="21" t="str">
        <x:v>H006</x:v>
      </x:c>
      <x:c r="B8" s="21" t="str">
        <x:v>AI is not the business. Distribution is the business.</x:v>
      </x:c>
      <x:c r="C8" s="21" t="str">
        <x:v>Money/Freedom</x:v>
      </x:c>
      <x:c r="D8" s="21" t="str">
        <x:v>Faceless AI Content Machine</x:v>
      </x:c>
      <x:c r="E8" s="21" t="str">
        <x:v>Short-form</x:v>
      </x:c>
      <x:c r="F8" s="21" t="str">
        <x:v>Draft</x:v>
      </x:c>
      <x:c r="G8" s="21" t="str">
        <x:v>Pending</x:v>
      </x:c>
    </x:row>
    <x:row r="9">
      <x:c r="A9" s="21" t="str">
        <x:v>H007</x:v>
      </x:c>
      <x:c r="B9" s="21" t="str">
        <x:v>I gave GPT a job: find money while I sleep.</x:v>
      </x:c>
      <x:c r="C9" s="21" t="str">
        <x:v>Money/Freedom</x:v>
      </x:c>
      <x:c r="D9" s="21" t="str">
        <x:v>Faceless AI Content Machine</x:v>
      </x:c>
      <x:c r="E9" s="21" t="str">
        <x:v>Short-form</x:v>
      </x:c>
      <x:c r="F9" s="21" t="str">
        <x:v>Draft</x:v>
      </x:c>
      <x:c r="G9" s="21" t="str">
        <x:v>Pending</x:v>
      </x:c>
    </x:row>
    <x:row r="10">
      <x:c r="A10" s="21" t="str">
        <x:v>H008</x:v>
      </x:c>
      <x:c r="B10" s="21" t="str">
        <x:v>This workbook is the brain of my money machine.</x:v>
      </x:c>
      <x:c r="C10" s="21" t="str">
        <x:v>Money/Freedom</x:v>
      </x:c>
      <x:c r="D10" s="21" t="str">
        <x:v>Faceless AI Content Machine</x:v>
      </x:c>
      <x:c r="E10" s="21" t="str">
        <x:v>Short-form</x:v>
      </x:c>
      <x:c r="F10" s="21" t="str">
        <x:v>Draft</x:v>
      </x:c>
      <x:c r="G10" s="21" t="str">
        <x:v>Pending</x:v>
      </x:c>
    </x:row>
    <x:row r="11">
      <x:c r="A11" s="21" t="str">
        <x:v>H009</x:v>
      </x:c>
      <x:c r="B11" s="21" t="str">
        <x:v>If your business cannot post daily, AI can fix that.</x:v>
      </x:c>
      <x:c r="C11" s="21" t="str">
        <x:v>Money/Freedom</x:v>
      </x:c>
      <x:c r="D11" s="21" t="str">
        <x:v>Faceless AI Content Machine</x:v>
      </x:c>
      <x:c r="E11" s="21" t="str">
        <x:v>Short-form</x:v>
      </x:c>
      <x:c r="F11" s="21" t="str">
        <x:v>Draft</x:v>
      </x:c>
      <x:c r="G11" s="21" t="str">
        <x:v>Pending</x:v>
      </x:c>
    </x:row>
    <x:row r="12">
      <x:c r="A12" s="21" t="str">
        <x:v>H010</x:v>
      </x:c>
      <x:c r="B12" s="21" t="str">
        <x:v>One avatar, one offer, one funnel, one test.</x:v>
      </x:c>
      <x:c r="C12" s="21" t="str">
        <x:v>Money/Freedom</x:v>
      </x:c>
      <x:c r="D12" s="21" t="str">
        <x:v>Faceless AI Content Machine</x:v>
      </x:c>
      <x:c r="E12" s="21" t="str">
        <x:v>Short-form</x:v>
      </x:c>
      <x:c r="F12" s="21" t="str">
        <x:v>Draft</x:v>
      </x:c>
      <x:c r="G12" s="21" t="str">
        <x:v>Pending</x:v>
      </x:c>
    </x:row>
    <x:row r="13">
      <x:c r="A13" s="21" t="str">
        <x:v>H011</x:v>
      </x:c>
      <x:c r="B13" s="21" t="str">
        <x:v>Stop building apps. Build revenue loops.</x:v>
      </x:c>
      <x:c r="C13" s="21" t="str">
        <x:v>Money/Freedom</x:v>
      </x:c>
      <x:c r="D13" s="21" t="str">
        <x:v>Faceless AI Content Machine</x:v>
      </x:c>
      <x:c r="E13" s="21" t="str">
        <x:v>Short-form</x:v>
      </x:c>
      <x:c r="F13" s="21" t="str">
        <x:v>Draft</x:v>
      </x:c>
      <x:c r="G13" s="21" t="str">
        <x:v>Pending</x:v>
      </x:c>
    </x:row>
    <x:row r="14">
      <x:c r="A14" s="21" t="str">
        <x:v>H012</x:v>
      </x:c>
      <x:c r="B14" s="21" t="str">
        <x:v>This is the $1,000 test I would run first.</x:v>
      </x:c>
      <x:c r="C14" s="21" t="str">
        <x:v>Money/Freedom</x:v>
      </x:c>
      <x:c r="D14" s="21" t="str">
        <x:v>Faceless AI Content Machine</x:v>
      </x:c>
      <x:c r="E14" s="21" t="str">
        <x:v>Short-form</x:v>
      </x:c>
      <x:c r="F14" s="21" t="str">
        <x:v>Draft</x:v>
      </x:c>
      <x:c r="G14" s="21" t="str">
        <x:v>Pending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ec5d1b54f3e488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4" t="str">
        <x:v>Parallel Worker Matrix</x:v>
      </x:c>
      <x:c r="B1" s="34"/>
      <x:c r="C1" s="34"/>
      <x:c r="D1" s="34"/>
      <x:c r="E1" s="34"/>
      <x:c r="F1" s="34"/>
      <x:c r="G1" s="34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Worker</x:v>
      </x:c>
      <x:c r="B2" s="14" t="str">
        <x:v>Purpose</x:v>
      </x:c>
      <x:c r="C2" s="14" t="str">
        <x:v>Inputs</x:v>
      </x:c>
      <x:c r="D2" s="14" t="str">
        <x:v>Outputs</x:v>
      </x:c>
      <x:c r="E2" s="14" t="str">
        <x:v>Autonomy</x:v>
      </x:c>
      <x:c r="F2" s="14" t="str">
        <x:v>Approval Gate</x:v>
      </x:c>
      <x:c r="G2" s="14" t="str">
        <x:v>KPI</x:v>
      </x:c>
    </x:row>
    <x:row r="3">
      <x:c r="A3" s="21" t="str">
        <x:v>MCP Sync Worker</x:v>
      </x:c>
      <x:c r="B3" s="21" t="str">
        <x:v>Verify tools/capabilities</x:v>
      </x:c>
      <x:c r="C3" s="21" t="str">
        <x:v>MCP connectors</x:v>
      </x:c>
      <x:c r="D3" s="21" t="str">
        <x:v>Capability registry</x:v>
      </x:c>
      <x:c r="E3" s="21" t="str">
        <x:v>High</x:v>
      </x:c>
      <x:c r="F3" s="21" t="str">
        <x:v>External mutations</x:v>
      </x:c>
      <x:c r="G3" s="21" t="str">
        <x:v>% tools verified</x:v>
      </x:c>
    </x:row>
    <x:row r="4">
      <x:c r="A4" s="21" t="str">
        <x:v>Trend Hunter</x:v>
      </x:c>
      <x:c r="B4" s="21" t="str">
        <x:v>Find demand signals</x:v>
      </x:c>
      <x:c r="C4" s="21" t="str">
        <x:v>Browser/Google/social</x:v>
      </x:c>
      <x:c r="D4" s="21" t="str">
        <x:v>Trend rows</x:v>
      </x:c>
      <x:c r="E4" s="21" t="str">
        <x:v>High</x:v>
      </x:c>
      <x:c r="F4" s="21" t="str">
        <x:v>None</x:v>
      </x:c>
      <x:c r="G4" s="21" t="str">
        <x:v>Qualified trends/day</x:v>
      </x:c>
    </x:row>
    <x:row r="5">
      <x:c r="A5" s="21" t="str">
        <x:v>Benchmark Worker</x:v>
      </x:c>
      <x:c r="B5" s="21" t="str">
        <x:v>Reverse engineer winners</x:v>
      </x:c>
      <x:c r="C5" s="21" t="str">
        <x:v>Competitors/content</x:v>
      </x:c>
      <x:c r="D5" s="21" t="str">
        <x:v>Benchmark rows</x:v>
      </x:c>
      <x:c r="E5" s="21" t="str">
        <x:v>High</x:v>
      </x:c>
      <x:c r="F5" s="21" t="str">
        <x:v>Rights risk</x:v>
      </x:c>
      <x:c r="G5" s="21" t="str">
        <x:v>Winning patterns</x:v>
      </x:c>
    </x:row>
    <x:row r="6">
      <x:c r="A6" s="21" t="str">
        <x:v>Candidate Scorer</x:v>
      </x:c>
      <x:c r="B6" s="21" t="str">
        <x:v>Rank opportunities</x:v>
      </x:c>
      <x:c r="C6" s="21" t="str">
        <x:v>Trend/offer data</x:v>
      </x:c>
      <x:c r="D6" s="21" t="str">
        <x:v>Scorecards</x:v>
      </x:c>
      <x:c r="E6" s="21" t="str">
        <x:v>High</x:v>
      </x:c>
      <x:c r="F6" s="21" t="str">
        <x:v>None</x:v>
      </x:c>
      <x:c r="G6" s="21" t="str">
        <x:v>Scores completed</x:v>
      </x:c>
    </x:row>
    <x:row r="7">
      <x:c r="A7" s="21" t="str">
        <x:v>Hook Worker</x:v>
      </x:c>
      <x:c r="B7" s="21" t="str">
        <x:v>Generate hooks</x:v>
      </x:c>
      <x:c r="C7" s="21" t="str">
        <x:v>Candidate/desire</x:v>
      </x:c>
      <x:c r="D7" s="21" t="str">
        <x:v>Hook bank</x:v>
      </x:c>
      <x:c r="E7" s="21" t="str">
        <x:v>High</x:v>
      </x:c>
      <x:c r="F7" s="21" t="str">
        <x:v>Publishing</x:v>
      </x:c>
      <x:c r="G7" s="21" t="str">
        <x:v>Hook CTR</x:v>
      </x:c>
    </x:row>
    <x:row r="8">
      <x:c r="A8" s="21" t="str">
        <x:v>Script Worker</x:v>
      </x:c>
      <x:c r="B8" s="21" t="str">
        <x:v>Generate scripts</x:v>
      </x:c>
      <x:c r="C8" s="21" t="str">
        <x:v>Hooks/offers</x:v>
      </x:c>
      <x:c r="D8" s="21" t="str">
        <x:v>Script bank</x:v>
      </x:c>
      <x:c r="E8" s="21" t="str">
        <x:v>High</x:v>
      </x:c>
      <x:c r="F8" s="21" t="str">
        <x:v>Claims risk</x:v>
      </x:c>
      <x:c r="G8" s="21" t="str">
        <x:v>Script approval rate</x:v>
      </x:c>
    </x:row>
    <x:row r="9">
      <x:c r="A9" s="21" t="str">
        <x:v>Avatar Worker</x:v>
      </x:c>
      <x:c r="B9" s="21" t="str">
        <x:v>Create briefs</x:v>
      </x:c>
      <x:c r="C9" s="21" t="str">
        <x:v>Scripts/personas</x:v>
      </x:c>
      <x:c r="D9" s="21" t="str">
        <x:v>HeyGen briefs</x:v>
      </x:c>
      <x:c r="E9" s="21" t="str">
        <x:v>Medium</x:v>
      </x:c>
      <x:c r="F9" s="21" t="str">
        <x:v>Paid/public render</x:v>
      </x:c>
      <x:c r="G9" s="21" t="str">
        <x:v>Videos ready</x:v>
      </x:c>
    </x:row>
    <x:row r="10">
      <x:c r="A10" s="21" t="str">
        <x:v>Funnel Worker</x:v>
      </x:c>
      <x:c r="B10" s="21" t="str">
        <x:v>Draft funnels</x:v>
      </x:c>
      <x:c r="C10" s="21" t="str">
        <x:v>Offer/CTA</x:v>
      </x:c>
      <x:c r="D10" s="21" t="str">
        <x:v>Landing copy</x:v>
      </x:c>
      <x:c r="E10" s="21" t="str">
        <x:v>Medium</x:v>
      </x:c>
      <x:c r="F10" s="21" t="str">
        <x:v>Production changes</x:v>
      </x:c>
      <x:c r="G10" s="21" t="str">
        <x:v>Conv rate</x:v>
      </x:c>
    </x:row>
    <x:row r="11">
      <x:c r="A11" s="21" t="str">
        <x:v>Codex Worker</x:v>
      </x:c>
      <x:c r="B11" s="21" t="str">
        <x:v>Repo implementation</x:v>
      </x:c>
      <x:c r="C11" s="21" t="str">
        <x:v>Plan</x:v>
      </x:c>
      <x:c r="D11" s="21" t="str">
        <x:v>Branch/PR</x:v>
      </x:c>
      <x:c r="E11" s="21" t="str">
        <x:v>Medium</x:v>
      </x:c>
      <x:c r="F11" s="21" t="str">
        <x:v>Merge/prod</x:v>
      </x:c>
      <x:c r="G11" s="21" t="str">
        <x:v>PRs opened</x:v>
      </x:c>
    </x:row>
    <x:row r="12">
      <x:c r="A12" s="21" t="str">
        <x:v>Playwright Worker</x:v>
      </x:c>
      <x:c r="B12" s="21" t="str">
        <x:v>Verify previews</x:v>
      </x:c>
      <x:c r="C12" s="21" t="str">
        <x:v>URLs/tests</x:v>
      </x:c>
      <x:c r="D12" s="21" t="str">
        <x:v>Screenshots/report</x:v>
      </x:c>
      <x:c r="E12" s="21" t="str">
        <x:v>High</x:v>
      </x:c>
      <x:c r="F12" s="21" t="str">
        <x:v>Purchases/posting</x:v>
      </x:c>
      <x:c r="G12" s="21" t="str">
        <x:v>Issues found</x:v>
      </x:c>
    </x:row>
    <x:row r="13">
      <x:c r="A13" s="21" t="str">
        <x:v>Analytics Worker</x:v>
      </x:c>
      <x:c r="B13" s="21" t="str">
        <x:v>Import metrics</x:v>
      </x:c>
      <x:c r="C13" s="21" t="str">
        <x:v>Platforms/Stripe/Shopify</x:v>
      </x:c>
      <x:c r="D13" s="21" t="str">
        <x:v>Performance rows</x:v>
      </x:c>
      <x:c r="E13" s="21" t="str">
        <x:v>High read-only</x:v>
      </x:c>
      <x:c r="F13" s="21" t="str">
        <x:v>Credentials</x:v>
      </x:c>
      <x:c r="G13" s="21" t="str">
        <x:v>Reports/day</x:v>
      </x:c>
    </x:row>
    <x:row r="14">
      <x:c r="A14" s="21" t="str">
        <x:v>Governance Worker</x:v>
      </x:c>
      <x:c r="B14" s="21" t="str">
        <x:v>Block risky actions</x:v>
      </x:c>
      <x:c r="C14" s="21" t="str">
        <x:v>All queues</x:v>
      </x:c>
      <x:c r="D14" s="21" t="str">
        <x:v>Approval/blocked status</x:v>
      </x:c>
      <x:c r="E14" s="21" t="str">
        <x:v>High</x:v>
      </x:c>
      <x:c r="F14" s="21" t="str">
        <x:v>Human review</x:v>
      </x:c>
      <x:c r="G14" s="21" t="str">
        <x:v>Risk reduction</x:v>
      </x:c>
    </x:row>
    <x:row r="15">
      <x:c r="A15" s="21" t="str">
        <x:v>Replication Worker</x:v>
      </x:c>
      <x:c r="B15" s="21" t="str">
        <x:v>Clone winners</x:v>
      </x:c>
      <x:c r="C15" s="21" t="str">
        <x:v>Winner memory</x:v>
      </x:c>
      <x:c r="D15" s="21" t="str">
        <x:v>Replication plan</x:v>
      </x:c>
      <x:c r="E15" s="21" t="str">
        <x:v>Medium</x:v>
      </x:c>
      <x:c r="F15" s="21" t="str">
        <x:v>Launch</x:v>
      </x:c>
      <x:c r="G15" s="21" t="str">
        <x:v>Winner clones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658816a3763495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4" t="str">
        <x:v>Governance Gates</x:v>
      </x:c>
      <x:c r="B1" s="34"/>
      <x:c r="C1" s="34"/>
      <x:c r="D1" s="34"/>
      <x:c r="E1" s="34"/>
      <x:c r="F1" s="34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Action</x:v>
      </x:c>
      <x:c r="B2" s="14" t="str">
        <x:v>Autonomous?</x:v>
      </x:c>
      <x:c r="C2" s="14" t="str">
        <x:v>Approval Required?</x:v>
      </x:c>
      <x:c r="D2" s="14" t="str">
        <x:v>Reason</x:v>
      </x:c>
      <x:c r="E2" s="14" t="str">
        <x:v>Gate Owner</x:v>
      </x:c>
      <x:c r="F2" s="14" t="str">
        <x:v>Status</x:v>
      </x:c>
    </x:row>
    <x:row r="3">
      <x:c r="A3" s="21" t="str">
        <x:v>Research public trends</x:v>
      </x:c>
      <x:c r="B3" s="21" t="str">
        <x:v>Yes</x:v>
      </x:c>
      <x:c r="C3" s="21" t="str">
        <x:v>No</x:v>
      </x:c>
      <x:c r="D3" s="21" t="str">
        <x:v>Low risk</x:v>
      </x:c>
      <x:c r="E3" s="21" t="str">
        <x:v>Governance Worker</x:v>
      </x:c>
      <x:c r="F3" s="21" t="str">
        <x:v>Allowed</x:v>
      </x:c>
    </x:row>
    <x:row r="4">
      <x:c r="A4" s="21" t="str">
        <x:v>Draft hooks/scripts</x:v>
      </x:c>
      <x:c r="B4" s="21" t="str">
        <x:v>Yes</x:v>
      </x:c>
      <x:c r="C4" s="21" t="str">
        <x:v>No</x:v>
      </x:c>
      <x:c r="D4" s="21" t="str">
        <x:v>Internal drafts</x:v>
      </x:c>
      <x:c r="E4" s="21" t="str">
        <x:v>Governance Worker</x:v>
      </x:c>
      <x:c r="F4" s="21" t="str">
        <x:v>Allowed</x:v>
      </x:c>
    </x:row>
    <x:row r="5">
      <x:c r="A5" s="21" t="str">
        <x:v>Create avatar briefs</x:v>
      </x:c>
      <x:c r="B5" s="21" t="str">
        <x:v>Yes</x:v>
      </x:c>
      <x:c r="C5" s="21" t="str">
        <x:v>Maybe</x:v>
      </x:c>
      <x:c r="D5" s="21" t="str">
        <x:v>Paid/public use risk</x:v>
      </x:c>
      <x:c r="E5" s="21" t="str">
        <x:v>Governance Worker</x:v>
      </x:c>
      <x:c r="F5" s="21" t="str">
        <x:v>Draft only</x:v>
      </x:c>
    </x:row>
    <x:row r="6">
      <x:c r="A6" s="21" t="str">
        <x:v>Publish live content</x:v>
      </x:c>
      <x:c r="B6" s="21" t="str">
        <x:v>No</x:v>
      </x:c>
      <x:c r="C6" s="21" t="str">
        <x:v>Yes</x:v>
      </x:c>
      <x:c r="D6" s="21" t="str">
        <x:v>Account/platform risk</x:v>
      </x:c>
      <x:c r="E6" s="21" t="str">
        <x:v>Human</x:v>
      </x:c>
      <x:c r="F6" s="21" t="str">
        <x:v>Blocked</x:v>
      </x:c>
    </x:row>
    <x:row r="7">
      <x:c r="A7" s="21" t="str">
        <x:v>Rename social accounts</x:v>
      </x:c>
      <x:c r="B7" s="21" t="str">
        <x:v>No</x:v>
      </x:c>
      <x:c r="C7" s="21" t="str">
        <x:v>Yes</x:v>
      </x:c>
      <x:c r="D7" s="21" t="str">
        <x:v>Account identity risk</x:v>
      </x:c>
      <x:c r="E7" s="21" t="str">
        <x:v>Human</x:v>
      </x:c>
      <x:c r="F7" s="21" t="str">
        <x:v>Blocked</x:v>
      </x:c>
    </x:row>
    <x:row r="8">
      <x:c r="A8" s="21" t="str">
        <x:v>Create Stripe products/prices</x:v>
      </x:c>
      <x:c r="B8" s="21" t="str">
        <x:v>No</x:v>
      </x:c>
      <x:c r="C8" s="21" t="str">
        <x:v>Yes</x:v>
      </x:c>
      <x:c r="D8" s="21" t="str">
        <x:v>Billing/payment risk</x:v>
      </x:c>
      <x:c r="E8" s="21" t="str">
        <x:v>Human</x:v>
      </x:c>
      <x:c r="F8" s="21" t="str">
        <x:v>Blocked</x:v>
      </x:c>
    </x:row>
    <x:row r="9">
      <x:c r="A9" s="21" t="str">
        <x:v>Modify Shopify production</x:v>
      </x:c>
      <x:c r="B9" s="21" t="str">
        <x:v>No</x:v>
      </x:c>
      <x:c r="C9" s="21" t="str">
        <x:v>Yes</x:v>
      </x:c>
      <x:c r="D9" s="21" t="str">
        <x:v>Store/revenue risk</x:v>
      </x:c>
      <x:c r="E9" s="21" t="str">
        <x:v>Human</x:v>
      </x:c>
      <x:c r="F9" s="21" t="str">
        <x:v>Blocked</x:v>
      </x:c>
    </x:row>
    <x:row r="10">
      <x:c r="A10" s="21" t="str">
        <x:v>Paid ads</x:v>
      </x:c>
      <x:c r="B10" s="21" t="str">
        <x:v>No</x:v>
      </x:c>
      <x:c r="C10" s="21" t="str">
        <x:v>Yes</x:v>
      </x:c>
      <x:c r="D10" s="21" t="str">
        <x:v>Capital risk</x:v>
      </x:c>
      <x:c r="E10" s="21" t="str">
        <x:v>Human</x:v>
      </x:c>
      <x:c r="F10" s="21" t="str">
        <x:v>Blocked</x:v>
      </x:c>
    </x:row>
    <x:row r="11">
      <x:c r="A11" s="21" t="str">
        <x:v>Production deploy</x:v>
      </x:c>
      <x:c r="B11" s="21" t="str">
        <x:v>No</x:v>
      </x:c>
      <x:c r="C11" s="21" t="str">
        <x:v>Yes</x:v>
      </x:c>
      <x:c r="D11" s="21" t="str">
        <x:v>Runtime risk</x:v>
      </x:c>
      <x:c r="E11" s="21" t="str">
        <x:v>Human</x:v>
      </x:c>
      <x:c r="F11" s="21" t="str">
        <x:v>Blocked</x:v>
      </x:c>
    </x:row>
    <x:row r="12">
      <x:c r="A12" s="21" t="str">
        <x:v>Env var change</x:v>
      </x:c>
      <x:c r="B12" s="21" t="str">
        <x:v>No</x:v>
      </x:c>
      <x:c r="C12" s="21" t="str">
        <x:v>Yes</x:v>
      </x:c>
      <x:c r="D12" s="21" t="str">
        <x:v>Infrastructure risk</x:v>
      </x:c>
      <x:c r="E12" s="21" t="str">
        <x:v>Human</x:v>
      </x:c>
      <x:c r="F12" s="21" t="str">
        <x:v>Blocked</x:v>
      </x:c>
    </x:row>
    <x:row r="13">
      <x:c r="A13" s="21" t="str">
        <x:v>Supabase schema mutation</x:v>
      </x:c>
      <x:c r="B13" s="21" t="str">
        <x:v>No</x:v>
      </x:c>
      <x:c r="C13" s="21" t="str">
        <x:v>Yes</x:v>
      </x:c>
      <x:c r="D13" s="21" t="str">
        <x:v>Data risk</x:v>
      </x:c>
      <x:c r="E13" s="21" t="str">
        <x:v>Human</x:v>
      </x:c>
      <x:c r="F13" s="21" t="str">
        <x:v>Blocked</x:v>
      </x:c>
    </x:row>
    <x:row r="14">
      <x:c r="A14" s="21" t="str">
        <x:v>Health/income/body/dating/sexual claims</x:v>
      </x:c>
      <x:c r="B14" s="21" t="str">
        <x:v>No</x:v>
      </x:c>
      <x:c r="C14" s="21" t="str">
        <x:v>Yes</x:v>
      </x:c>
      <x:c r="D14" s="21" t="str">
        <x:v>Compliance risk</x:v>
      </x:c>
      <x:c r="E14" s="21" t="str">
        <x:v>Human</x:v>
      </x:c>
      <x:c r="F14" s="21" t="str">
        <x:v>Blocked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a5690f7944b4ec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36" hidden="0" customWidth="1"/>
    <x:col min="5" max="5" width="32" hidden="0" customWidth="1"/>
    <x:col min="6" max="6" width="24" hidden="0" customWidth="1"/>
  </x:cols>
  <x:sheetData>
    <x:row r="1">
      <x:c r="A1" s="34" t="str">
        <x:v>Vercel Workflow, Cron, Sandbox, AI Gateway Plan</x:v>
      </x:c>
      <x:c r="B1" s="34"/>
      <x:c r="C1" s="34"/>
      <x:c r="D1" s="34"/>
      <x:c r="E1" s="34"/>
      <x:c r="F1" s="34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Component</x:v>
      </x:c>
      <x:c r="B2" s="14" t="str">
        <x:v>Role</x:v>
      </x:c>
      <x:c r="C2" s="14" t="str">
        <x:v>Cadence</x:v>
      </x:c>
      <x:c r="D2" s="14" t="str">
        <x:v>Allowed Actions</x:v>
      </x:c>
      <x:c r="E2" s="14" t="str">
        <x:v>Blocked Actions</x:v>
      </x:c>
      <x:c r="F2" s="14" t="str">
        <x:v>Output</x:v>
      </x:c>
    </x:row>
    <x:row r="3">
      <x:c r="A3" s="21" t="str">
        <x:v>Vercel Cron</x:v>
      </x:c>
      <x:c r="B3" s="21" t="str">
        <x:v>Trigger safe loop</x:v>
      </x:c>
      <x:c r="C3" s="21" t="str">
        <x:v>Every 5 min</x:v>
      </x:c>
      <x:c r="D3" s="21" t="str">
        <x:v>Queue check, MCP sync, report</x:v>
      </x:c>
      <x:c r="E3" s="21" t="str">
        <x:v>Gated external actions</x:v>
      </x:c>
      <x:c r="F3" s="21" t="str">
        <x:v>Loop run log</x:v>
      </x:c>
    </x:row>
    <x:row r="4">
      <x:c r="A4" s="21" t="str">
        <x:v>Vercel Workflows</x:v>
      </x:c>
      <x:c r="B4" s="21" t="str">
        <x:v>Durable jobs</x:v>
      </x:c>
      <x:c r="C4" s="21" t="str">
        <x:v>Continuous</x:v>
      </x:c>
      <x:c r="D4" s="21" t="str">
        <x:v>Research, scoring, drafting, analytics</x:v>
      </x:c>
      <x:c r="E4" s="21" t="str">
        <x:v>Production side effects</x:v>
      </x:c>
      <x:c r="F4" s="21" t="str">
        <x:v>Workflow state</x:v>
      </x:c>
    </x:row>
    <x:row r="5">
      <x:c r="A5" s="21" t="str">
        <x:v>Vercel Sandbox</x:v>
      </x:c>
      <x:c r="B5" s="21" t="str">
        <x:v>Isolated execution</x:v>
      </x:c>
      <x:c r="C5" s="21" t="str">
        <x:v>Per build</x:v>
      </x:c>
      <x:c r="D5" s="21" t="str">
        <x:v>Run tests/builds/previews</x:v>
      </x:c>
      <x:c r="E5" s="21" t="str">
        <x:v>Production mutation</x:v>
      </x:c>
      <x:c r="F5" s="21" t="str">
        <x:v>Preview artifact</x:v>
      </x:c>
    </x:row>
    <x:row r="6">
      <x:c r="A6" s="21" t="str">
        <x:v>Vercel AI Gateway</x:v>
      </x:c>
      <x:c r="B6" s="21" t="str">
        <x:v>Model routing/cost</x:v>
      </x:c>
      <x:c r="C6" s="21" t="str">
        <x:v>Per AI call</x:v>
      </x:c>
      <x:c r="D6" s="21" t="str">
        <x:v>Route models, track costs</x:v>
      </x:c>
      <x:c r="E6" s="21" t="str">
        <x:v>Billing changes</x:v>
      </x:c>
      <x:c r="F6" s="21" t="str">
        <x:v>Cost report</x:v>
      </x:c>
    </x:row>
    <x:row r="7">
      <x:c r="A7" s="21" t="str">
        <x:v>GitHub Branch</x:v>
      </x:c>
      <x:c r="B7" s="21" t="str">
        <x:v>Versioned work</x:v>
      </x:c>
      <x:c r="C7" s="21" t="str">
        <x:v>Per build</x:v>
      </x:c>
      <x:c r="D7" s="21" t="str">
        <x:v>Create branch, PR</x:v>
      </x:c>
      <x:c r="E7" s="21" t="str">
        <x:v>Protected merge</x:v>
      </x:c>
      <x:c r="F7" s="21" t="str">
        <x:v>PR link</x:v>
      </x:c>
    </x:row>
    <x:row r="8">
      <x:c r="A8" s="21" t="str">
        <x:v>Codex</x:v>
      </x:c>
      <x:c r="B8" s="21" t="str">
        <x:v>Implementation</x:v>
      </x:c>
      <x:c r="C8" s="21" t="str">
        <x:v>Task-based</x:v>
      </x:c>
      <x:c r="D8" s="21" t="str">
        <x:v>Docs/stubs/tests</x:v>
      </x:c>
      <x:c r="E8" s="21" t="str">
        <x:v>Prod deploy/env/schema</x:v>
      </x:c>
      <x:c r="F8" s="21" t="str">
        <x:v>Code diff</x:v>
      </x:c>
    </x:row>
    <x:row r="9">
      <x:c r="A9" s="21" t="str">
        <x:v>Playwright</x:v>
      </x:c>
      <x:c r="B9" s="21" t="str">
        <x:v>Verification</x:v>
      </x:c>
      <x:c r="C9" s="21" t="str">
        <x:v>Task-based</x:v>
      </x:c>
      <x:c r="D9" s="21" t="str">
        <x:v>Screenshots, UI tests</x:v>
      </x:c>
      <x:c r="E9" s="21" t="str">
        <x:v>Purchases/posts</x:v>
      </x:c>
      <x:c r="F9" s="21" t="str">
        <x:v>Verification report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b80aa1238724fd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26" hidden="0" customWidth="1"/>
    <x:col min="5" max="5" width="22" hidden="0" customWidth="1"/>
    <x:col min="6" max="6" width="34" hidden="0" customWidth="1"/>
    <x:col min="7" max="7" width="22" hidden="0" customWidth="1"/>
    <x:col min="8" max="8" width="18" hidden="0" customWidth="1"/>
  </x:cols>
  <x:sheetData>
    <x:row r="1">
      <x:c r="A1" s="34" t="str">
        <x:v>Lead Generation Operating System</x:v>
      </x:c>
      <x:c r="B1" s="34"/>
      <x:c r="C1" s="34"/>
      <x:c r="D1" s="34"/>
      <x:c r="E1" s="34"/>
      <x:c r="F1" s="34"/>
      <x:c r="G1" s="34"/>
      <x:c r="H1" s="34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Lead Source</x:v>
      </x:c>
      <x:c r="B2" s="14" t="str">
        <x:v>Target</x:v>
      </x:c>
      <x:c r="C2" s="14" t="str">
        <x:v>Offer</x:v>
      </x:c>
      <x:c r="D2" s="14" t="str">
        <x:v>Lead Magnet</x:v>
      </x:c>
      <x:c r="E2" s="14" t="str">
        <x:v>CTA</x:v>
      </x:c>
      <x:c r="F2" s="14" t="str">
        <x:v>Automation</x:v>
      </x:c>
      <x:c r="G2" s="14" t="str">
        <x:v>Approval</x:v>
      </x:c>
      <x:c r="H2" s="14" t="str">
        <x:v>Metric</x:v>
      </x:c>
    </x:row>
    <x:row r="3">
      <x:c r="A3" s="21" t="str">
        <x:v>Organic short-form</x:v>
      </x:c>
      <x:c r="B3" s="21" t="str">
        <x:v>Creators/business owners</x:v>
      </x:c>
      <x:c r="C3" s="21" t="str">
        <x:v>Faceless AI Content Machine</x:v>
      </x:c>
      <x:c r="D3" s="21" t="str">
        <x:v>Free checklist</x:v>
      </x:c>
      <x:c r="E3" s="21" t="str">
        <x:v>Download checklist</x:v>
      </x:c>
      <x:c r="F3" s="21" t="str">
        <x:v>Xyla draft schedule</x:v>
      </x:c>
      <x:c r="G3" s="21" t="str">
        <x:v>Publish approval</x:v>
      </x:c>
      <x:c r="H3" s="21" t="str">
        <x:v>Clicks/leads</x:v>
      </x:c>
    </x:row>
    <x:row r="4">
      <x:c r="A4" s="21" t="str">
        <x:v>Founder story content</x:v>
      </x:c>
      <x:c r="B4" s="21" t="str">
        <x:v>AI-curious entrepreneurs</x:v>
      </x:c>
      <x:c r="C4" s="21" t="str">
        <x:v>Money Machine Workbook</x:v>
      </x:c>
      <x:c r="D4" s="21" t="str">
        <x:v>Build-in-public series</x:v>
      </x:c>
      <x:c r="E4" s="21" t="str">
        <x:v>Get workbook</x:v>
      </x:c>
      <x:c r="F4" s="21" t="str">
        <x:v>GPT scripts + avatar</x:v>
      </x:c>
      <x:c r="G4" s="21" t="str">
        <x:v>Publish approval</x:v>
      </x:c>
      <x:c r="H4" s="21" t="str">
        <x:v>Email captures</x:v>
      </x:c>
    </x:row>
    <x:row r="5">
      <x:c r="A5" s="21" t="str">
        <x:v>Local business audit</x:v>
      </x:c>
      <x:c r="B5" s="21" t="str">
        <x:v>SMBs</x:v>
      </x:c>
      <x:c r="C5" s="21" t="str">
        <x:v>AI content retainer</x:v>
      </x:c>
      <x:c r="D5" s="21" t="str">
        <x:v>Free content audit</x:v>
      </x:c>
      <x:c r="E5" s="21" t="str">
        <x:v>Book setup call</x:v>
      </x:c>
      <x:c r="F5" s="21" t="str">
        <x:v>Playwright website audit draft</x:v>
      </x:c>
      <x:c r="G5" s="21" t="str">
        <x:v>Outreach approval</x:v>
      </x:c>
      <x:c r="H5" s="21" t="str">
        <x:v>Calls booked</x:v>
      </x:c>
    </x:row>
    <x:row r="6">
      <x:c r="A6" s="21" t="str">
        <x:v>Facebook groups/pages</x:v>
      </x:c>
      <x:c r="B6" s="21" t="str">
        <x:v>Creators/side hustlers</x:v>
      </x:c>
      <x:c r="C6" s="21" t="str">
        <x:v>Starter kit</x:v>
      </x:c>
      <x:c r="D6" s="21" t="str">
        <x:v>Template preview</x:v>
      </x:c>
      <x:c r="E6" s="21" t="str">
        <x:v>Comment/DM opt-in</x:v>
      </x:c>
      <x:c r="F6" s="21" t="str">
        <x:v>Manual approval only</x:v>
      </x:c>
      <x:c r="G6" s="21" t="str">
        <x:v>DM leads</x:v>
      </x:c>
      <x:c r="H6" s="21"/>
    </x:row>
    <x:row r="7">
      <x:c r="A7" s="21" t="str">
        <x:v>Email list</x:v>
      </x:c>
      <x:c r="B7" s="21" t="str">
        <x:v>Warm leads</x:v>
      </x:c>
      <x:c r="C7" s="21" t="str">
        <x:v>Setup service</x:v>
      </x:c>
      <x:c r="D7" s="21" t="str">
        <x:v>Case study</x:v>
      </x:c>
      <x:c r="E7" s="21" t="str">
        <x:v>Apply now</x:v>
      </x:c>
      <x:c r="F7" s="21" t="str">
        <x:v>Draft sequence</x:v>
      </x:c>
      <x:c r="G7" s="21" t="str">
        <x:v>Send approval</x:v>
      </x:c>
      <x:c r="H7" s="21" t="str">
        <x:v>Sales calls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460099ce145401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12" hidden="0" customWidth="1"/>
    <x:col min="5" max="5" width="14" hidden="0" customWidth="1"/>
    <x:col min="6" max="6" width="24" hidden="0" customWidth="1"/>
    <x:col min="7" max="7" width="18" hidden="0" customWidth="1"/>
  </x:cols>
  <x:sheetData>
    <x:row r="1">
      <x:c r="A1" s="34" t="str">
        <x:v>Shopify and Stripe Funnel Builder</x:v>
      </x:c>
      <x:c r="B1" s="34"/>
      <x:c r="C1" s="34"/>
      <x:c r="D1" s="34"/>
      <x:c r="E1" s="34"/>
      <x:c r="F1" s="34"/>
      <x:c r="G1" s="34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Funnel Step</x:v>
      </x:c>
      <x:c r="B2" s="14" t="str">
        <x:v>Tool</x:v>
      </x:c>
      <x:c r="C2" s="14" t="str">
        <x:v>Asset</x:v>
      </x:c>
      <x:c r="D2" s="14" t="str">
        <x:v>Price</x:v>
      </x:c>
      <x:c r="E2" s="14" t="str">
        <x:v>Status</x:v>
      </x:c>
      <x:c r="F2" s="14" t="str">
        <x:v>Approval</x:v>
      </x:c>
      <x:c r="G2" s="14" t="str">
        <x:v>Metric</x:v>
      </x:c>
    </x:row>
    <x:row r="3">
      <x:c r="A3" s="21" t="str">
        <x:v>Lead magnet</x:v>
      </x:c>
      <x:c r="B3" s="21" t="str">
        <x:v>Landing page/Shopify</x:v>
      </x:c>
      <x:c r="C3" s="21" t="str">
        <x:v>Free checklist</x:v>
      </x:c>
      <x:c r="D3" s="28" t="n">
        <x:v>0</x:v>
      </x:c>
      <x:c r="E3" s="21" t="str">
        <x:v>Draft</x:v>
      </x:c>
      <x:c r="F3" s="21" t="str">
        <x:v>Required before publish</x:v>
      </x:c>
      <x:c r="G3" s="21" t="str">
        <x:v>Opt-in rate</x:v>
      </x:c>
    </x:row>
    <x:row r="4">
      <x:c r="A4" s="21" t="str">
        <x:v>Entry product</x:v>
      </x:c>
      <x:c r="B4" s="21" t="str">
        <x:v>Shopify/Stripe</x:v>
      </x:c>
      <x:c r="C4" s="21" t="str">
        <x:v>Money Machine Workbook</x:v>
      </x:c>
      <x:c r="D4" s="28" t="n">
        <x:v>47</x:v>
      </x:c>
      <x:c r="E4" s="21" t="str">
        <x:v>Draft</x:v>
      </x:c>
      <x:c r="F4" s="21" t="str">
        <x:v>Stripe/Shopify approval</x:v>
      </x:c>
      <x:c r="G4" s="21" t="str">
        <x:v>Sales</x:v>
      </x:c>
    </x:row>
    <x:row r="5">
      <x:c r="A5" s="21" t="str">
        <x:v>Starter kit</x:v>
      </x:c>
      <x:c r="B5" s="21" t="str">
        <x:v>Shopify/Stripe</x:v>
      </x:c>
      <x:c r="C5" s="21" t="str">
        <x:v>Faceless AI Starter Kit</x:v>
      </x:c>
      <x:c r="D5" s="28" t="n">
        <x:v>297</x:v>
      </x:c>
      <x:c r="E5" s="21" t="str">
        <x:v>Draft</x:v>
      </x:c>
      <x:c r="F5" s="21" t="str">
        <x:v>Stripe/Shopify approval</x:v>
      </x:c>
      <x:c r="G5" s="21" t="str">
        <x:v>AOV</x:v>
      </x:c>
    </x:row>
    <x:row r="6">
      <x:c r="A6" s="21" t="str">
        <x:v>Setup service</x:v>
      </x:c>
      <x:c r="B6" s="21" t="str">
        <x:v>Stripe</x:v>
      </x:c>
      <x:c r="C6" s="21" t="str">
        <x:v>System setup call</x:v>
      </x:c>
      <x:c r="D6" s="28" t="n">
        <x:v>997</x:v>
      </x:c>
      <x:c r="E6" s="21" t="str">
        <x:v>Draft</x:v>
      </x:c>
      <x:c r="F6" s="21" t="str">
        <x:v>Stripe approval</x:v>
      </x:c>
      <x:c r="G6" s="21" t="str">
        <x:v>Booked calls</x:v>
      </x:c>
    </x:row>
    <x:row r="7">
      <x:c r="A7" s="21" t="str">
        <x:v>Retainer</x:v>
      </x:c>
      <x:c r="B7" s="21" t="str">
        <x:v>Stripe</x:v>
      </x:c>
      <x:c r="C7" s="21" t="str">
        <x:v>Done-for-you content machine</x:v>
      </x:c>
      <x:c r="D7" s="28" t="n">
        <x:v>2500</x:v>
      </x:c>
      <x:c r="E7" s="21" t="str">
        <x:v>Draft</x:v>
      </x:c>
      <x:c r="F7" s="21" t="str">
        <x:v>Stripe approval</x:v>
      </x:c>
      <x:c r="G7" s="21" t="str">
        <x:v>MRR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59101cc6fbd453b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0" hidden="0" customWidth="1"/>
    <x:col min="4" max="4" width="20" hidden="0" customWidth="1"/>
    <x:col min="5" max="5" width="22" hidden="0" customWidth="1"/>
    <x:col min="6" max="6" width="30" hidden="0" customWidth="1"/>
  </x:cols>
  <x:sheetData>
    <x:row r="1">
      <x:c r="A1" s="34" t="str">
        <x:v>AI Video / Image / Avatar Templates</x:v>
      </x:c>
      <x:c r="B1" s="34"/>
      <x:c r="C1" s="34"/>
      <x:c r="D1" s="34"/>
      <x:c r="E1" s="34"/>
      <x:c r="F1" s="34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Template</x:v>
      </x:c>
      <x:c r="B2" s="14" t="str">
        <x:v>Use Case</x:v>
      </x:c>
      <x:c r="C2" s="14" t="str">
        <x:v>Prompt/Brief Pattern</x:v>
      </x:c>
      <x:c r="D2" s="14" t="str">
        <x:v>Tool</x:v>
      </x:c>
      <x:c r="E2" s="14" t="str">
        <x:v>CTA</x:v>
      </x:c>
      <x:c r="F2" s="14" t="str">
        <x:v>Risk Guardrail</x:v>
      </x:c>
    </x:row>
    <x:row r="3">
      <x:c r="A3" s="21" t="str">
        <x:v>Founder Avatar Explainer</x:v>
      </x:c>
      <x:c r="B3" s="21" t="str">
        <x:v>Origin/proof</x:v>
      </x:c>
      <x:c r="C3" s="21" t="str">
        <x:v>Avatar explains why system was built and what it does</x:v>
      </x:c>
      <x:c r="D3" s="21" t="str">
        <x:v>HeyGen</x:v>
      </x:c>
      <x:c r="E3" s="21" t="str">
        <x:v>Download checklist</x:v>
      </x:c>
      <x:c r="F3" s="21" t="str">
        <x:v>No fake claims</x:v>
      </x:c>
    </x:row>
    <x:row r="4">
      <x:c r="A4" s="21" t="str">
        <x:v>Product Demo Short</x:v>
      </x:c>
      <x:c r="B4" s="21" t="str">
        <x:v>Offer demo</x:v>
      </x:c>
      <x:c r="C4" s="21" t="str">
        <x:v>Show workbook/funnel/content queue in 30 seconds</x:v>
      </x:c>
      <x:c r="D4" s="21" t="str">
        <x:v>HeyGen/Screen</x:v>
      </x:c>
      <x:c r="E4" s="21" t="str">
        <x:v>Get workbook</x:v>
      </x:c>
      <x:c r="F4" s="21" t="str">
        <x:v>Show real screens only</x:v>
      </x:c>
    </x:row>
    <x:row r="5">
      <x:c r="A5" s="21" t="str">
        <x:v>Transformation Concept</x:v>
      </x:c>
      <x:c r="B5" s="21" t="str">
        <x:v>Before/after workflow</x:v>
      </x:c>
      <x:c r="C5" s="21" t="str">
        <x:v>Before manual posting; after automated content queue</x:v>
      </x:c>
      <x:c r="D5" s="21" t="str">
        <x:v>AI video</x:v>
      </x:c>
      <x:c r="E5" s="21" t="str">
        <x:v>Start system</x:v>
      </x:c>
      <x:c r="F5" s="21" t="str">
        <x:v>No guaranteed income</x:v>
      </x:c>
    </x:row>
    <x:row r="6">
      <x:c r="A6" s="21" t="str">
        <x:v>Thumbnail Image</x:v>
      </x:c>
      <x:c r="B6" s="21" t="str">
        <x:v>Scroll stopper</x:v>
      </x:c>
      <x:c r="C6" s="21" t="str">
        <x:v>Bold text, dashboard screenshot, human face/avatar</x:v>
      </x:c>
      <x:c r="D6" s="21" t="str">
        <x:v>AI Image</x:v>
      </x:c>
      <x:c r="E6" s="21" t="str">
        <x:v>Learn more</x:v>
      </x:c>
      <x:c r="F6" s="21" t="str">
        <x:v>Original assets only</x:v>
      </x:c>
    </x:row>
    <x:row r="7">
      <x:c r="A7" s="21" t="str">
        <x:v>Social Carousel</x:v>
      </x:c>
      <x:c r="B7" s="21" t="str">
        <x:v>Education</x:v>
      </x:c>
      <x:c r="C7" s="21" t="str">
        <x:v>5 steps: Trend → Hook → Avatar → Funnel → Revenue</x:v>
      </x:c>
      <x:c r="D7" s="21" t="str">
        <x:v>AI Image/GPT</x:v>
      </x:c>
      <x:c r="E7" s="21" t="str">
        <x:v>Save this</x:v>
      </x:c>
      <x:c r="F7" s="21" t="str">
        <x:v>No misleading stats</x:v>
      </x:c>
    </x:row>
    <x:row r="8">
      <x:c r="A8" s="21" t="str">
        <x:v>Ad-style UGC Draft</x:v>
      </x:c>
      <x:c r="B8" s="21" t="str">
        <x:v>Conversion</x:v>
      </x:c>
      <x:c r="C8" s="21" t="str">
        <x:v>Creator-style explanation of content machine</x:v>
      </x:c>
      <x:c r="D8" s="21" t="str">
        <x:v>HeyGen</x:v>
      </x:c>
      <x:c r="E8" s="21" t="str">
        <x:v>Book setup</x:v>
      </x:c>
      <x:c r="F8" s="21" t="str">
        <x:v>Approval before ads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34ac886cc1b47e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55" hidden="0" customWidth="1"/>
    <x:col min="5" max="5" width="28" hidden="0" customWidth="1"/>
    <x:col min="6" max="6" width="26" hidden="0" customWidth="1"/>
  </x:cols>
  <x:sheetData>
    <x:row r="1">
      <x:c r="A1" s="34" t="str">
        <x:v>30 / 60 / 90 Day Roadmap</x:v>
      </x:c>
      <x:c r="B1" s="34"/>
      <x:c r="C1" s="34"/>
      <x:c r="D1" s="34"/>
      <x:c r="E1" s="34"/>
      <x:c r="F1" s="34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Phase</x:v>
      </x:c>
      <x:c r="B2" s="14" t="str">
        <x:v>Days</x:v>
      </x:c>
      <x:c r="C2" s="14" t="str">
        <x:v>Goal</x:v>
      </x:c>
      <x:c r="D2" s="14" t="str">
        <x:v>Deliverables</x:v>
      </x:c>
      <x:c r="E2" s="14" t="str">
        <x:v>Success Metric</x:v>
      </x:c>
      <x:c r="F2" s="14" t="str">
        <x:v>Decision</x:v>
      </x:c>
    </x:row>
    <x:row r="3">
      <x:c r="A3" s="21" t="str">
        <x:v>Phase 1</x:v>
      </x:c>
      <x:c r="B3" s="21" t="str">
        <x:v>1-7</x:v>
      </x:c>
      <x:c r="C3" s="21" t="str">
        <x:v>Install Money Machine and first funnel draft</x:v>
      </x:c>
      <x:c r="D3" s="21" t="str">
        <x:v>Workbook, docs, 100 hooks, 30 scripts, 3 avatars, landing draft</x:v>
      </x:c>
      <x:c r="E3" s="21" t="str">
        <x:v>Launch-ready with approvals</x:v>
      </x:c>
      <x:c r="F3" s="21" t="str">
        <x:v>Proceed to limited publish</x:v>
      </x:c>
    </x:row>
    <x:row r="4">
      <x:c r="A4" s="21" t="str">
        <x:v>Phase 2</x:v>
      </x:c>
      <x:c r="B4" s="21" t="str">
        <x:v>8-30</x:v>
      </x:c>
      <x:c r="C4" s="21" t="str">
        <x:v>Validate organic signal</x:v>
      </x:c>
      <x:c r="D4" s="21" t="str">
        <x:v>100 posts drafted, limited approved publishing, analytics</x:v>
      </x:c>
      <x:c r="E4" s="21" t="str">
        <x:v>1 sale OR 10 leads OR 50 clicks OR 1k views</x:v>
      </x:c>
      <x:c r="F4" s="21" t="str">
        <x:v>Scale/kill/pivot</x:v>
      </x:c>
    </x:row>
    <x:row r="5">
      <x:c r="A5" s="21" t="str">
        <x:v>Phase 3</x:v>
      </x:c>
      <x:c r="B5" s="21" t="str">
        <x:v>31-60</x:v>
      </x:c>
      <x:c r="C5" s="21" t="str">
        <x:v>Convert signal to revenue</x:v>
      </x:c>
      <x:c r="D5" s="21" t="str">
        <x:v>Offer refinement, email sequence, setup service, retainer pitch</x:v>
      </x:c>
      <x:c r="E5" s="21" t="str">
        <x:v>$1k-$5k revenue signal</x:v>
      </x:c>
      <x:c r="F5" s="21" t="str">
        <x:v>Replicate winner</x:v>
      </x:c>
    </x:row>
    <x:row r="6">
      <x:c r="A6" s="21" t="str">
        <x:v>Phase 4</x:v>
      </x:c>
      <x:c r="B6" s="21" t="str">
        <x:v>61-90</x:v>
      </x:c>
      <x:c r="C6" s="21" t="str">
        <x:v>Build repeatability</x:v>
      </x:c>
      <x:c r="D6" s="21" t="str">
        <x:v>Second niche/brand, dashboards, content factory, SOP</x:v>
      </x:c>
      <x:c r="E6" s="21" t="str">
        <x:v>$10k/mo path identified</x:v>
      </x:c>
      <x:c r="F6" s="21" t="str">
        <x:v>Expand carefully</x:v>
      </x:c>
    </x:row>
    <x:row r="7">
      <x:c r="A7" s="21" t="str">
        <x:v>Year Goal</x:v>
      </x:c>
      <x:c r="B7" s="21" t="str">
        <x:v>1-365</x:v>
      </x:c>
      <x:c r="C7" s="21" t="str">
        <x:v>Chase $1M gross</x:v>
      </x:c>
      <x:c r="D7" s="21" t="str">
        <x:v>Compound winners, subscriptions, services, digital products</x:v>
      </x:c>
      <x:c r="E7" s="21" t="str">
        <x:v>$83,333/mo average needed</x:v>
      </x:c>
      <x:c r="F7" s="21" t="str">
        <x:v>Track realism monthly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4f307afb639465e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34" t="str">
        <x:v>Money Machine Master Invocation Prompt</x:v>
      </x:c>
      <x:c r="B1" s="34"/>
      <x:c r="C1" s="34"/>
      <x:c r="D1" s="34"/>
      <x:c r="E1" s="34"/>
      <x:c r="F1" s="34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3">
      <x:c r="A3" s="32" t="str">
        <x:v>MASTER INVOCATION PROMPT — MONEY MACHINE MM-01
Act as MASTER AGENT BUILDER. Build a production-grade autonomous revenue agent named Money Machine, codename MM-01, under parent AUTO BUILDER. Use GPT Business as brain and GPT MCP as the first-class bridge for max safe autonomy, max automation, max connectivity, max financial growth, max social media content creation, and 24/7 parallel operations.
Use Manus/Replit/v0 as workflow concepts only: Manus-style plan/decompose/execute/verify/recover; Replit-style sandbox/run/test/preview/PR; v0-style natural-language-to-UI/funnel generation.
Implement modes: MCP Sync, Discover, Plan, Build, Preview, Verify, Launch, Operate, Optimize, Replicate, Recover, Revenue, Social Content, Parallel Ops.
Use full stack: AUTO BUILDER, GPT/OpenAI, GPT MCP, Codex, Playwright, GitHub, Vercel Workflows, Vercel Cron, Vercel Sandbox, Vercel AI Gateway, Supabase if existing, Google Drive/Sheets/workbook, Shopify, Stripe, HeyGen, Opus, Xyla, AI Voice, AI Image tools, browser/Google Trends/public sources.
Initial capital cap: $1,000. First workflow: Faceless AI Content Machine. Build 100 hooks, 30 scripts, 3 avatar personas, 1 landing/funnel draft, Shopify/Stripe draft, Xyla content schedule draft, Opus workflow, HeyGen workflow, analytics plan, kill/scale plan.
Autonomous allowed: research, scoring, drafts, content queues, repo branch/PR, preview, Playwright verification, analytics summaries, winner/loser scoring, replication recommendations. Human approval required: live publishing, paid ads, Shopify production, Stripe products/pricing, production deploy, env vars, database schema, billing, mass outreach, social account changes, risky claims, third-party media use, sexualized avatar strategy.
Every response must end with HUMAN NEEDED/NO HUMAN NEEDED, EXECUTIVE SUMMARY, VERIFIED, INFERRED, COULD NOT VERIFY, KEY POINTS, BLOCKS, WORKAROUND, SELF-HEAL RESULT, NEXT GPT INSTRUCTION.</x:v>
      </x:c>
      <x:c r="B3" s="32"/>
      <x:c r="C3" s="32"/>
      <x:c r="D3" s="32"/>
      <x:c r="E3" s="32"/>
      <x:c r="F3" s="32"/>
    </x:row>
    <x:row r="4">
      <x:c r="A4" s="32"/>
      <x:c r="B4" s="32"/>
      <x:c r="C4" s="32"/>
      <x:c r="D4" s="32"/>
      <x:c r="E4" s="32"/>
      <x:c r="F4" s="32"/>
    </x:row>
    <x:row r="5">
      <x:c r="A5" s="32"/>
      <x:c r="B5" s="32"/>
      <x:c r="C5" s="32"/>
      <x:c r="D5" s="32"/>
      <x:c r="E5" s="32"/>
      <x:c r="F5" s="32"/>
    </x:row>
    <x:row r="6">
      <x:c r="A6" s="32"/>
      <x:c r="B6" s="32"/>
      <x:c r="C6" s="32"/>
      <x:c r="D6" s="32"/>
      <x:c r="E6" s="32"/>
      <x:c r="F6" s="32"/>
    </x:row>
    <x:row r="7">
      <x:c r="A7" s="32"/>
      <x:c r="B7" s="32"/>
      <x:c r="C7" s="32"/>
      <x:c r="D7" s="32"/>
      <x:c r="E7" s="32"/>
      <x:c r="F7" s="32"/>
    </x:row>
    <x:row r="8">
      <x:c r="A8" s="32"/>
      <x:c r="B8" s="32"/>
      <x:c r="C8" s="32"/>
      <x:c r="D8" s="32"/>
      <x:c r="E8" s="32"/>
      <x:c r="F8" s="32"/>
    </x:row>
    <x:row r="9">
      <x:c r="A9" s="32"/>
      <x:c r="B9" s="32"/>
      <x:c r="C9" s="32"/>
      <x:c r="D9" s="32"/>
      <x:c r="E9" s="32"/>
      <x:c r="F9" s="32"/>
    </x:row>
    <x:row r="10">
      <x:c r="A10" s="32"/>
      <x:c r="B10" s="32"/>
      <x:c r="C10" s="32"/>
      <x:c r="D10" s="32"/>
      <x:c r="E10" s="32"/>
      <x:c r="F10" s="32"/>
    </x:row>
    <x:row r="11">
      <x:c r="A11" s="32"/>
      <x:c r="B11" s="32"/>
      <x:c r="C11" s="32"/>
      <x:c r="D11" s="32"/>
      <x:c r="E11" s="32"/>
      <x:c r="F11" s="32"/>
    </x:row>
    <x:row r="12">
      <x:c r="A12" s="32"/>
      <x:c r="B12" s="32"/>
      <x:c r="C12" s="32"/>
      <x:c r="D12" s="32"/>
      <x:c r="E12" s="32"/>
      <x:c r="F12" s="32"/>
    </x:row>
    <x:row r="13">
      <x:c r="A13" s="32"/>
      <x:c r="B13" s="32"/>
      <x:c r="C13" s="32"/>
      <x:c r="D13" s="32"/>
      <x:c r="E13" s="32"/>
      <x:c r="F13" s="32"/>
    </x:row>
    <x:row r="14">
      <x:c r="A14" s="32"/>
      <x:c r="B14" s="32"/>
      <x:c r="C14" s="32"/>
      <x:c r="D14" s="32"/>
      <x:c r="E14" s="32"/>
      <x:c r="F14" s="32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F1"/>
    <x:mergeCell ref="A3:F20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55" hidden="0" customWidth="1"/>
    <x:col min="4" max="4" width="32" hidden="0" customWidth="1"/>
    <x:col min="5" max="5" width="18" hidden="0" customWidth="1"/>
  </x:cols>
  <x:sheetData>
    <x:row r="1">
      <x:c r="A1" s="34" t="str">
        <x:v>Source Registry</x:v>
      </x:c>
      <x:c r="B1" s="34"/>
      <x:c r="C1" s="34"/>
      <x:c r="D1" s="34"/>
      <x:c r="E1" s="34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14" t="str">
        <x:v>Source</x:v>
      </x:c>
      <x:c r="B2" s="14" t="str">
        <x:v>Type</x:v>
      </x:c>
      <x:c r="C2" s="14" t="str">
        <x:v>URL / Location</x:v>
      </x:c>
      <x:c r="D2" s="14" t="str">
        <x:v>Use</x:v>
      </x:c>
      <x:c r="E2" s="14" t="str">
        <x:v>Status</x:v>
      </x:c>
    </x:row>
    <x:row r="3">
      <x:c r="A3" s="21" t="str">
        <x:v>AUTO BUILDER Wealth Operating System</x:v>
      </x:c>
      <x:c r="B3" s="21" t="str">
        <x:v>Uploaded docx parsed</x:v>
      </x:c>
      <x:c r="C3" s="21" t="str">
        <x:v>turn0file0</x:v>
      </x:c>
      <x:c r="D3" s="21" t="str">
        <x:v>Mission/stack/doctrine</x:v>
      </x:c>
      <x:c r="E3" s="21" t="str">
        <x:v>Verified</x:v>
      </x:c>
    </x:row>
    <x:row r="4">
      <x:c r="A4" s="21" t="str">
        <x:v>Money Machine Master Workbook</x:v>
      </x:c>
      <x:c r="B4" s="21" t="str">
        <x:v>Generated workbook</x:v>
      </x:c>
      <x:c r="C4" s="21" t="str">
        <x:v>/mnt/data/AUTO_BUILDER_Money_Machine_Master_Workbook.xlsx</x:v>
      </x:c>
      <x:c r="D4" s="21" t="str">
        <x:v>Base workbook</x:v>
      </x:c>
      <x:c r="E4" s="21" t="str">
        <x:v>Verified</x:v>
      </x:c>
    </x:row>
    <x:row r="5">
      <x:c r="A5" s="21" t="str">
        <x:v>AUTOBUILDER BRIDGE</x:v>
      </x:c>
      <x:c r="B5" s="21" t="str">
        <x:v>Google Sheet</x:v>
      </x:c>
      <x:c r="C5" s="21" t="str">
        <x:v>https://docs.google.com/spreadsheets/d/1jlfP3ZGtrR9gZQ2MokljJjtQZMKNcNVC-xGifOryfao</x:v>
      </x:c>
      <x:c r="D5" s="21" t="str">
        <x:v>Bridge/Ops sheet</x:v>
      </x:c>
      <x:c r="E5" s="21" t="str">
        <x:v>Found in Drive</x:v>
      </x:c>
    </x:row>
    <x:row r="6">
      <x:c r="A6" s="21" t="str">
        <x:v>SWF Content Media Integrated</x:v>
      </x:c>
      <x:c r="B6" s="21" t="str">
        <x:v>Drive workbook</x:v>
      </x:c>
      <x:c r="C6" s="21" t="str">
        <x:v>Drive search result</x:v>
      </x:c>
      <x:c r="D6" s="21" t="str">
        <x:v>Content/media intelligence</x:v>
      </x:c>
      <x:c r="E6" s="21" t="str">
        <x:v>Found in Drive</x:v>
      </x:c>
    </x:row>
    <x:row r="7">
      <x:c r="A7" s="21" t="str">
        <x:v>SWF Benchmark Integrated</x:v>
      </x:c>
      <x:c r="B7" s="21" t="str">
        <x:v>Drive workbook</x:v>
      </x:c>
      <x:c r="C7" s="21" t="str">
        <x:v>Drive search result</x:v>
      </x:c>
      <x:c r="D7" s="21" t="str">
        <x:v>Benchmark/reverse engineering</x:v>
      </x:c>
      <x:c r="E7" s="21" t="str">
        <x:v>Found in Drive</x:v>
      </x:c>
    </x:row>
    <x:row r="8">
      <x:c r="A8" s="21" t="str">
        <x:v>SWF LeadGen Benchmark</x:v>
      </x:c>
      <x:c r="B8" s="21" t="str">
        <x:v>Drive workbook</x:v>
      </x:c>
      <x:c r="C8" s="21" t="str">
        <x:v>Drive search result</x:v>
      </x:c>
      <x:c r="D8" s="21" t="str">
        <x:v>Lead generation intelligence</x:v>
      </x:c>
      <x:c r="E8" s="21" t="str">
        <x:v>Found in Drive</x:v>
      </x:c>
    </x:row>
    <x:row r="9">
      <x:c r="A9" s="21" t="str">
        <x:v>SWF Social SEO Benchmark</x:v>
      </x:c>
      <x:c r="B9" s="21" t="str">
        <x:v>Drive workbook</x:v>
      </x:c>
      <x:c r="C9" s="21" t="str">
        <x:v>Drive search result</x:v>
      </x:c>
      <x:c r="D9" s="21" t="str">
        <x:v>Social/SEO intelligence</x:v>
      </x:c>
      <x:c r="E9" s="21" t="str">
        <x:v>Found in Drive</x:v>
      </x:c>
    </x:row>
    <x:row r="10">
      <x:c r="A10" s="21" t="str">
        <x:v>SWF Content OS Sandbox Execution</x:v>
      </x:c>
      <x:c r="B10" s="21" t="str">
        <x:v>Drive workbook</x:v>
      </x:c>
      <x:c r="C10" s="21" t="str">
        <x:v>Drive search result</x:v>
      </x:c>
      <x:c r="D10" s="21" t="str">
        <x:v>Sandbox/content execution</x:v>
      </x:c>
      <x:c r="E10" s="21" t="str">
        <x:v>Found in Drive</x:v>
      </x:c>
    </x:row>
    <x:row r="11">
      <x:c r="A11" s="21" t="str">
        <x:v>Google Trends</x:v>
      </x:c>
      <x:c r="B11" s="21" t="str">
        <x:v>Public source</x:v>
      </x:c>
      <x:c r="C11" s="21" t="str">
        <x:v>https://trends.google.com/trends/</x:v>
      </x:c>
      <x:c r="D11" s="21" t="str">
        <x:v>Keyword trend validation</x:v>
      </x:c>
      <x:c r="E11" s="21" t="str">
        <x:v>Use live during operation</x:v>
      </x:c>
    </x:row>
    <x:row r="12">
      <x:c r="A12" s="21" t="str">
        <x:v>Shopify ecommerce trends</x:v>
      </x:c>
      <x:c r="B12" s="21" t="str">
        <x:v>Public source</x:v>
      </x:c>
      <x:c r="C12" s="21" t="str">
        <x:v>https://www.shopify.com/blog/ecommerce-trends-predictions</x:v>
      </x:c>
      <x:c r="D12" s="21" t="str">
        <x:v>Ecommerce/social commerce trend context</x:v>
      </x:c>
      <x:c r="E12" s="21" t="str">
        <x:v>Use live during operation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0b584f7cced4f48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2" hidden="0" customWidth="1"/>
    <x:col min="12" max="12" width="34" hidden="0" customWidth="1"/>
  </x:cols>
  <x:sheetData>
    <x:row r="1" ht="26" customHeight="1">
      <x:c r="A1" s="48" t="str">
        <x:v>Money Machine Schedule Control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</x:row>
    <x:row r="2" ht="30" customHeight="1">
      <x:c r="A2" s="47" t="str">
        <x:v>Schedule ID</x:v>
      </x:c>
      <x:c r="B2" s="47" t="str">
        <x:v>Cadence</x:v>
      </x:c>
      <x:c r="C2" s="47" t="str">
        <x:v>Trigger</x:v>
      </x:c>
      <x:c r="D2" s="47" t="str">
        <x:v>Time Window</x:v>
      </x:c>
      <x:c r="E2" s="47" t="str">
        <x:v>Workflow</x:v>
      </x:c>
      <x:c r="F2" s="47" t="str">
        <x:v>Owner Worker</x:v>
      </x:c>
      <x:c r="G2" s="47" t="str">
        <x:v>Autonomous Allowed</x:v>
      </x:c>
      <x:c r="H2" s="47" t="str">
        <x:v>Approval Required</x:v>
      </x:c>
      <x:c r="I2" s="47" t="str">
        <x:v>Cost Cap</x:v>
      </x:c>
      <x:c r="J2" s="47" t="str">
        <x:v>Success Metric</x:v>
      </x:c>
      <x:c r="K2" s="47" t="str">
        <x:v>Status</x:v>
      </x:c>
      <x:c r="L2" s="47" t="str">
        <x:v>Notes</x:v>
      </x:c>
    </x:row>
    <x:row r="3">
      <x:c r="A3" s="21" t="str">
        <x:v>SCH-001</x:v>
      </x:c>
      <x:c r="B3" s="21" t="str">
        <x:v>Every 5 minutes</x:v>
      </x:c>
      <x:c r="C3" s="21" t="str">
        <x:v>Vercel Cron</x:v>
      </x:c>
      <x:c r="D3" s="21" t="str">
        <x:v>24/7</x:v>
      </x:c>
      <x:c r="E3" s="21" t="str">
        <x:v>Safe queue inspection + MCP sync + next-task generation</x:v>
      </x:c>
      <x:c r="F3" s="21" t="str">
        <x:v>Master Orchestrator</x:v>
      </x:c>
      <x:c r="G3" s="21" t="str">
        <x:v>Yes</x:v>
      </x:c>
      <x:c r="H3" s="21" t="str">
        <x:v>No external actions</x:v>
      </x:c>
      <x:c r="I3" s="21" t="str">
        <x:v>$0.50/day</x:v>
      </x:c>
      <x:c r="J3" s="21" t="str">
        <x:v>Queue updated, no unsafe actions</x:v>
      </x:c>
      <x:c r="K3" s="21" t="str">
        <x:v>Ready</x:v>
      </x:c>
      <x:c r="L3" s="21" t="str">
        <x:v>Core safe heartbeat.</x:v>
      </x:c>
    </x:row>
    <x:row r="4">
      <x:c r="A4" s="21" t="str">
        <x:v>SCH-002</x:v>
      </x:c>
      <x:c r="B4" s="21" t="str">
        <x:v>Every 15 minutes</x:v>
      </x:c>
      <x:c r="C4" s="21" t="str">
        <x:v>Vercel Workflow</x:v>
      </x:c>
      <x:c r="D4" s="21" t="str">
        <x:v>24/7</x:v>
      </x:c>
      <x:c r="E4" s="21" t="str">
        <x:v>Trend discovery + candidate refresh</x:v>
      </x:c>
      <x:c r="F4" s="21" t="str">
        <x:v>Trend Hunter</x:v>
      </x:c>
      <x:c r="G4" s="21" t="str">
        <x:v>Yes</x:v>
      </x:c>
      <x:c r="H4" s="21" t="str">
        <x:v>No paid tools without approval</x:v>
      </x:c>
      <x:c r="I4" s="21" t="str">
        <x:v>$1/day</x:v>
      </x:c>
      <x:c r="J4" s="21" t="str">
        <x:v>New candidates or updated score</x:v>
      </x:c>
      <x:c r="K4" s="21" t="str">
        <x:v>Queued</x:v>
      </x:c>
      <x:c r="L4" s="21" t="str">
        <x:v>Use browser/Google/public sources.</x:v>
      </x:c>
    </x:row>
    <x:row r="5">
      <x:c r="A5" s="21" t="str">
        <x:v>SCH-003</x:v>
      </x:c>
      <x:c r="B5" s="21" t="str">
        <x:v>Hourly</x:v>
      </x:c>
      <x:c r="C5" s="21" t="str">
        <x:v>Workflow</x:v>
      </x:c>
      <x:c r="D5" s="21" t="str">
        <x:v>24/7</x:v>
      </x:c>
      <x:c r="E5" s="21" t="str">
        <x:v>Hook/script generation batch</x:v>
      </x:c>
      <x:c r="F5" s="21" t="str">
        <x:v>Hook Worker</x:v>
      </x:c>
      <x:c r="G5" s="21" t="str">
        <x:v>Yes</x:v>
      </x:c>
      <x:c r="H5" s="21" t="str">
        <x:v>Publishing approval required</x:v>
      </x:c>
      <x:c r="I5" s="21" t="str">
        <x:v>$2/day</x:v>
      </x:c>
      <x:c r="J5" s="21" t="str">
        <x:v>10+ hooks/scripts generated</x:v>
      </x:c>
      <x:c r="K5" s="21" t="str">
        <x:v>Queued</x:v>
      </x:c>
      <x:c r="L5" s="21" t="str">
        <x:v>Feeds content queue.</x:v>
      </x:c>
    </x:row>
    <x:row r="6">
      <x:c r="A6" s="21" t="str">
        <x:v>SCH-004</x:v>
      </x:c>
      <x:c r="B6" s="21" t="str">
        <x:v>Twice daily</x:v>
      </x:c>
      <x:c r="C6" s="21" t="str">
        <x:v>Workflow</x:v>
      </x:c>
      <x:c r="D6" s="21" t="str">
        <x:v>9 AM / 5 PM</x:v>
      </x:c>
      <x:c r="E6" s="21" t="str">
        <x:v>Avatar brief + media asset batch</x:v>
      </x:c>
      <x:c r="F6" s="21" t="str">
        <x:v>Avatar Worker</x:v>
      </x:c>
      <x:c r="G6" s="21" t="str">
        <x:v>Draft only</x:v>
      </x:c>
      <x:c r="H6" s="21" t="str">
        <x:v>Render/publish approval required</x:v>
      </x:c>
      <x:c r="I6" s="21" t="str">
        <x:v>$5/day</x:v>
      </x:c>
      <x:c r="J6" s="21" t="str">
        <x:v>3 briefs ready</x:v>
      </x:c>
      <x:c r="K6" s="21" t="str">
        <x:v>Queued</x:v>
      </x:c>
      <x:c r="L6" s="21" t="str">
        <x:v>HeyGen briefs only until approved.</x:v>
      </x:c>
    </x:row>
    <x:row r="7">
      <x:c r="A7" s="21" t="str">
        <x:v>SCH-005</x:v>
      </x:c>
      <x:c r="B7" s="21" t="str">
        <x:v>Daily</x:v>
      </x:c>
      <x:c r="C7" s="21" t="str">
        <x:v>Workflow</x:v>
      </x:c>
      <x:c r="D7" s="21" t="str">
        <x:v>8 AM</x:v>
      </x:c>
      <x:c r="E7" s="21" t="str">
        <x:v>Executive revenue + action report</x:v>
      </x:c>
      <x:c r="F7" s="21" t="str">
        <x:v>Executive Report Worker</x:v>
      </x:c>
      <x:c r="G7" s="21" t="str">
        <x:v>Yes</x:v>
      </x:c>
      <x:c r="H7" s="21" t="str">
        <x:v>No</x:v>
      </x:c>
      <x:c r="I7" s="21" t="str">
        <x:v>$0.25/day</x:v>
      </x:c>
      <x:c r="J7" s="21" t="str">
        <x:v>Report created</x:v>
      </x:c>
      <x:c r="K7" s="21" t="str">
        <x:v>Ready</x:v>
      </x:c>
      <x:c r="L7" s="21" t="str">
        <x:v>Human-facing priorities.</x:v>
      </x:c>
    </x:row>
    <x:row r="8">
      <x:c r="A8" s="21" t="str">
        <x:v>SCH-006</x:v>
      </x:c>
      <x:c r="B8" s="21" t="str">
        <x:v>Daily</x:v>
      </x:c>
      <x:c r="C8" s="21" t="str">
        <x:v>Workflow</x:v>
      </x:c>
      <x:c r="D8" s="21" t="str">
        <x:v>9 PM</x:v>
      </x:c>
      <x:c r="E8" s="21" t="str">
        <x:v>Analytics import + winner/loser scoring</x:v>
      </x:c>
      <x:c r="F8" s="21" t="str">
        <x:v>Analytics Worker</x:v>
      </x:c>
      <x:c r="G8" s="21" t="str">
        <x:v>Read-only</x:v>
      </x:c>
      <x:c r="H8" s="21" t="str">
        <x:v>No</x:v>
      </x:c>
      <x:c r="I8" s="21" t="str">
        <x:v>$0.50/day</x:v>
      </x:c>
      <x:c r="J8" s="21" t="str">
        <x:v>Winner/loser scores updated</x:v>
      </x:c>
      <x:c r="K8" s="21" t="str">
        <x:v>Queued</x:v>
      </x:c>
      <x:c r="L8" s="21" t="str">
        <x:v>Pulls Shopify/Stripe/social stats if connected.</x:v>
      </x:c>
    </x:row>
    <x:row r="9">
      <x:c r="A9" s="21" t="str">
        <x:v>SCH-007</x:v>
      </x:c>
      <x:c r="B9" s="21" t="str">
        <x:v>Weekly</x:v>
      </x:c>
      <x:c r="C9" s="21" t="str">
        <x:v>Workflow</x:v>
      </x:c>
      <x:c r="D9" s="21" t="str">
        <x:v>Sunday 6 PM</x:v>
      </x:c>
      <x:c r="E9" s="21" t="str">
        <x:v>Replication review</x:v>
      </x:c>
      <x:c r="F9" s="21" t="str">
        <x:v>Replication Worker</x:v>
      </x:c>
      <x:c r="G9" s="21" t="str">
        <x:v>Recommendation only</x:v>
      </x:c>
      <x:c r="H9" s="21" t="str">
        <x:v>Approval to launch clone</x:v>
      </x:c>
      <x:c r="I9" s="21" t="str">
        <x:v>$1/week</x:v>
      </x:c>
      <x:c r="J9" s="21" t="str">
        <x:v>Winners selected or killed</x:v>
      </x:c>
      <x:c r="K9" s="21" t="str">
        <x:v>Queued</x:v>
      </x:c>
      <x:c r="L9" s="21" t="str">
        <x:v>Do not clone without signal.</x:v>
      </x:c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45f850e30ba41c5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  <x:col min="7" max="7" width="34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4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4" hidden="0" customWidth="1"/>
  </x:cols>
  <x:sheetData>
    <x:row r="1" ht="26" customHeight="1">
      <x:c r="A1" s="48" t="str">
        <x:v>Money Machine Master Task Queue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</x:row>
    <x:row r="2" ht="30" customHeight="1">
      <x:c r="A2" s="47" t="str">
        <x:v>Task ID</x:v>
      </x:c>
      <x:c r="B2" s="47" t="str">
        <x:v>Created</x:v>
      </x:c>
      <x:c r="C2" s="47" t="str">
        <x:v>Priority</x:v>
      </x:c>
      <x:c r="D2" s="47" t="str">
        <x:v>Status</x:v>
      </x:c>
      <x:c r="E2" s="47" t="str">
        <x:v>Mode</x:v>
      </x:c>
      <x:c r="F2" s="47" t="str">
        <x:v>Worker</x:v>
      </x:c>
      <x:c r="G2" s="47" t="str">
        <x:v>Workflow</x:v>
      </x:c>
      <x:c r="H2" s="47" t="str">
        <x:v>Task Prompt</x:v>
      </x:c>
      <x:c r="I2" s="47" t="str">
        <x:v>Input Source</x:v>
      </x:c>
      <x:c r="J2" s="47" t="str">
        <x:v>Output Destination</x:v>
      </x:c>
      <x:c r="K2" s="47" t="str">
        <x:v>Approval Required</x:v>
      </x:c>
      <x:c r="L2" s="47" t="str">
        <x:v>Cost Cap</x:v>
      </x:c>
      <x:c r="M2" s="47" t="str">
        <x:v>Due</x:v>
      </x:c>
      <x:c r="N2" s="47" t="str">
        <x:v>Dependency</x:v>
      </x:c>
      <x:c r="O2" s="47" t="str">
        <x:v>Success Criteria</x:v>
      </x:c>
      <x:c r="P2" s="47" t="str">
        <x:v>Revenue Impact Score</x:v>
      </x:c>
      <x:c r="Q2" s="47" t="str">
        <x:v>Risk Score</x:v>
      </x:c>
      <x:c r="R2" s="47" t="str">
        <x:v>Next Action</x:v>
      </x:c>
      <x:c r="S2" s="47" t="str">
        <x:v>Result Link</x:v>
      </x:c>
      <x:c r="T2" s="47" t="str">
        <x:v>Notes</x:v>
      </x:c>
    </x:row>
    <x:row r="3">
      <x:c r="A3" s="21" t="str">
        <x:v>TASK-001</x:v>
      </x:c>
      <x:c r="B3" s="21" t="str">
        <x:v>2026-05-28 00:07</x:v>
      </x:c>
      <x:c r="C3" s="21" t="str">
        <x:v>P0 Emergency</x:v>
      </x:c>
      <x:c r="D3" s="21" t="str">
        <x:v>Ready</x:v>
      </x:c>
      <x:c r="E3" s="21" t="str">
        <x:v>MCP Sync</x:v>
      </x:c>
      <x:c r="F3" s="21" t="str">
        <x:v>MCP Sync Worker</x:v>
      </x:c>
      <x:c r="G3" s="21" t="str">
        <x:v>MCP Sync</x:v>
      </x:c>
      <x:c r="H3" s="21" t="str">
        <x:v>Inspect all connected MCP tools and register capabilities</x:v>
      </x:c>
      <x:c r="I3" s="21" t="str">
        <x:v>GPT MCP / connected apps</x:v>
      </x:c>
      <x:c r="J3" s="21" t="str">
        <x:v>MCP Capability Registry</x:v>
      </x:c>
      <x:c r="K3" s="21" t="str">
        <x:v>No</x:v>
      </x:c>
      <x:c r="L3" s="21" t="n">
        <x:v>0</x:v>
      </x:c>
      <x:c r="M3" s="21" t="str">
        <x:v>2026-05-28 00:07</x:v>
      </x:c>
      <x:c r="N3" s="21" t="str">
        <x:v>None</x:v>
      </x:c>
      <x:c r="O3" s="21" t="str">
        <x:v>Capability registry populated</x:v>
      </x:c>
      <x:c r="P3" s="21" t="n">
        <x:v>90</x:v>
      </x:c>
      <x:c r="Q3" s="21" t="n">
        <x:v>20</x:v>
      </x:c>
      <x:c r="R3" s="21" t="str">
        <x:v>Run immediately</x:v>
      </x:c>
      <x:c r="S3" s="21" t="str"/>
      <x:c r="T3" s="21" t="str"/>
    </x:row>
    <x:row r="4">
      <x:c r="A4" s="21" t="str">
        <x:v>TASK-002</x:v>
      </x:c>
      <x:c r="B4" s="21" t="str">
        <x:v>2026-05-28 00:07</x:v>
      </x:c>
      <x:c r="C4" s="21" t="str">
        <x:v>P1 Revenue</x:v>
      </x:c>
      <x:c r="D4" s="21" t="str">
        <x:v>Queued</x:v>
      </x:c>
      <x:c r="E4" s="21" t="str">
        <x:v>Discover</x:v>
      </x:c>
      <x:c r="F4" s="21" t="str">
        <x:v>Trend Hunter</x:v>
      </x:c>
      <x:c r="G4" s="21" t="str">
        <x:v>Faceless AI Content Machine</x:v>
      </x:c>
      <x:c r="H4" s="21" t="str">
        <x:v>Research live trend/keyword signals for AI content automation and faceless creator demand</x:v>
      </x:c>
      <x:c r="I4" s="21" t="str">
        <x:v>Browser / Google Trends / public sources</x:v>
      </x:c>
      <x:c r="J4" s="21" t="str">
        <x:v>Keyword Trend Log</x:v>
      </x:c>
      <x:c r="K4" s="21" t="str">
        <x:v>No</x:v>
      </x:c>
      <x:c r="L4" s="21" t="n">
        <x:v>1</x:v>
      </x:c>
      <x:c r="M4" s="21" t="str">
        <x:v>2026-05-28 02:07</x:v>
      </x:c>
      <x:c r="N4" s="21" t="str">
        <x:v>TASK-001</x:v>
      </x:c>
      <x:c r="O4" s="21" t="str">
        <x:v>10 trend rows with source URLs</x:v>
      </x:c>
      <x:c r="P4" s="21" t="n">
        <x:v>85</x:v>
      </x:c>
      <x:c r="Q4" s="21" t="n">
        <x:v>25</x:v>
      </x:c>
      <x:c r="R4" s="21" t="str">
        <x:v>Research</x:v>
      </x:c>
      <x:c r="S4" s="21" t="str"/>
      <x:c r="T4" s="21" t="str"/>
    </x:row>
    <x:row r="5">
      <x:c r="A5" s="21" t="str">
        <x:v>TASK-003</x:v>
      </x:c>
      <x:c r="B5" s="21" t="str">
        <x:v>2026-05-28 00:07</x:v>
      </x:c>
      <x:c r="C5" s="21" t="str">
        <x:v>P1 Revenue</x:v>
      </x:c>
      <x:c r="D5" s="21" t="str">
        <x:v>Queued</x:v>
      </x:c>
      <x:c r="E5" s="21" t="str">
        <x:v>Plan</x:v>
      </x:c>
      <x:c r="F5" s="21" t="str">
        <x:v>Candidate Scorer</x:v>
      </x:c>
      <x:c r="G5" s="21" t="str">
        <x:v>First Revenue Test</x:v>
      </x:c>
      <x:c r="H5" s="21" t="str">
        <x:v>Score top 10 fastest-to-cash candidates</x:v>
      </x:c>
      <x:c r="I5" s="21" t="str">
        <x:v>Candidate Research / Trend Log</x:v>
      </x:c>
      <x:c r="J5" s="21" t="str">
        <x:v>Candidate Research</x:v>
      </x:c>
      <x:c r="K5" s="21" t="str">
        <x:v>No</x:v>
      </x:c>
      <x:c r="L5" s="21" t="n">
        <x:v>0.25</x:v>
      </x:c>
      <x:c r="M5" s="21" t="str">
        <x:v>2026-05-28 03:07</x:v>
      </x:c>
      <x:c r="N5" s="21" t="str">
        <x:v>TASK-002</x:v>
      </x:c>
      <x:c r="O5" s="21" t="str">
        <x:v>Top candidate selected</x:v>
      </x:c>
      <x:c r="P5" s="21" t="n">
        <x:v>95</x:v>
      </x:c>
      <x:c r="Q5" s="21" t="n">
        <x:v>20</x:v>
      </x:c>
      <x:c r="R5" s="21" t="str">
        <x:v>Score candidates</x:v>
      </x:c>
      <x:c r="S5" s="21" t="str"/>
      <x:c r="T5" s="21" t="str"/>
    </x:row>
    <x:row r="6">
      <x:c r="A6" s="21" t="str">
        <x:v>TASK-004</x:v>
      </x:c>
      <x:c r="B6" s="21" t="str">
        <x:v>2026-05-28 00:07</x:v>
      </x:c>
      <x:c r="C6" s="21" t="str">
        <x:v>P1 Revenue</x:v>
      </x:c>
      <x:c r="D6" s="21" t="str">
        <x:v>Queued</x:v>
      </x:c>
      <x:c r="E6" s="21" t="str">
        <x:v>Social Content</x:v>
      </x:c>
      <x:c r="F6" s="21" t="str">
        <x:v>Hook Worker</x:v>
      </x:c>
      <x:c r="G6" s="21" t="str">
        <x:v>Faceless AI Content Machine</x:v>
      </x:c>
      <x:c r="H6" s="21" t="str">
        <x:v>Generate 100 hooks for Faceless AI Content Machine</x:v>
      </x:c>
      <x:c r="I6" s="21" t="str">
        <x:v>Human Psychology Matrix / Candidate Research</x:v>
      </x:c>
      <x:c r="J6" s="21" t="str">
        <x:v>Hook Bank</x:v>
      </x:c>
      <x:c r="K6" s="21" t="str">
        <x:v>No</x:v>
      </x:c>
      <x:c r="L6" s="21" t="n">
        <x:v>0.5</x:v>
      </x:c>
      <x:c r="M6" s="21" t="str">
        <x:v>2026-05-28 05:07</x:v>
      </x:c>
      <x:c r="N6" s="21" t="str">
        <x:v>TASK-003</x:v>
      </x:c>
      <x:c r="O6" s="21" t="str">
        <x:v>100 hooks ready</x:v>
      </x:c>
      <x:c r="P6" s="21" t="n">
        <x:v>80</x:v>
      </x:c>
      <x:c r="Q6" s="21" t="n">
        <x:v>15</x:v>
      </x:c>
      <x:c r="R6" s="21" t="str">
        <x:v>Generate hooks</x:v>
      </x:c>
      <x:c r="S6" s="21" t="str"/>
      <x:c r="T6" s="21" t="str"/>
    </x:row>
    <x:row r="7">
      <x:c r="A7" s="21" t="str">
        <x:v>TASK-005</x:v>
      </x:c>
      <x:c r="B7" s="21" t="str">
        <x:v>2026-05-28 00:07</x:v>
      </x:c>
      <x:c r="C7" s="21" t="str">
        <x:v>P1 Revenue</x:v>
      </x:c>
      <x:c r="D7" s="21" t="str">
        <x:v>Queued</x:v>
      </x:c>
      <x:c r="E7" s="21" t="str">
        <x:v>Social Content</x:v>
      </x:c>
      <x:c r="F7" s="21" t="str">
        <x:v>Script Worker</x:v>
      </x:c>
      <x:c r="G7" s="21" t="str">
        <x:v>Faceless AI Content Machine</x:v>
      </x:c>
      <x:c r="H7" s="21" t="str">
        <x:v>Generate 30 short-form video scripts</x:v>
      </x:c>
      <x:c r="I7" s="21" t="str">
        <x:v>Hook Bank</x:v>
      </x:c>
      <x:c r="J7" s="21" t="str">
        <x:v>Script Bank / Content Factory</x:v>
      </x:c>
      <x:c r="K7" s="21" t="str">
        <x:v>No</x:v>
      </x:c>
      <x:c r="L7" s="21" t="n">
        <x:v>0.75</x:v>
      </x:c>
      <x:c r="M7" s="21" t="str">
        <x:v>2026-05-28 06:07</x:v>
      </x:c>
      <x:c r="N7" s="21" t="str">
        <x:v>TASK-004</x:v>
      </x:c>
      <x:c r="O7" s="21" t="str">
        <x:v>30 scripts ready</x:v>
      </x:c>
      <x:c r="P7" s="21" t="n">
        <x:v>80</x:v>
      </x:c>
      <x:c r="Q7" s="21" t="n">
        <x:v>15</x:v>
      </x:c>
      <x:c r="R7" s="21" t="str">
        <x:v>Generate scripts</x:v>
      </x:c>
      <x:c r="S7" s="21" t="str"/>
      <x:c r="T7" s="21" t="str"/>
    </x:row>
    <x:row r="8">
      <x:c r="A8" s="21" t="str">
        <x:v>TASK-006</x:v>
      </x:c>
      <x:c r="B8" s="21" t="str">
        <x:v>2026-05-28 00:07</x:v>
      </x:c>
      <x:c r="C8" s="21" t="str">
        <x:v>P1 Revenue</x:v>
      </x:c>
      <x:c r="D8" s="21" t="str">
        <x:v>Queued</x:v>
      </x:c>
      <x:c r="E8" s="21" t="str">
        <x:v>Social Content</x:v>
      </x:c>
      <x:c r="F8" s="21" t="str">
        <x:v>Avatar Worker</x:v>
      </x:c>
      <x:c r="G8" s="21" t="str">
        <x:v>Faceless AI Content Machine</x:v>
      </x:c>
      <x:c r="H8" s="21" t="str">
        <x:v>Create 3 HeyGen avatar persona briefs</x:v>
      </x:c>
      <x:c r="I8" s="21" t="str">
        <x:v>Script Bank / Persona Matrix</x:v>
      </x:c>
      <x:c r="J8" s="21" t="str">
        <x:v>AI Media Templates</x:v>
      </x:c>
      <x:c r="K8" s="21" t="str">
        <x:v>Yes</x:v>
      </x:c>
      <x:c r="L8" s="21" t="n">
        <x:v>0</x:v>
      </x:c>
      <x:c r="M8" s="21" t="str">
        <x:v>2026-05-28 08:07</x:v>
      </x:c>
      <x:c r="N8" s="21" t="str">
        <x:v>TASK-005</x:v>
      </x:c>
      <x:c r="O8" s="21" t="str">
        <x:v>3 avatar briefs ready</x:v>
      </x:c>
      <x:c r="P8" s="21" t="n">
        <x:v>75</x:v>
      </x:c>
      <x:c r="Q8" s="21" t="n">
        <x:v>35</x:v>
      </x:c>
      <x:c r="R8" s="21" t="str">
        <x:v>Prepare approval</x:v>
      </x:c>
      <x:c r="S8" s="21" t="str"/>
      <x:c r="T8" s="21" t="str"/>
    </x:row>
    <x:row r="9">
      <x:c r="A9" s="21" t="str">
        <x:v>TASK-007</x:v>
      </x:c>
      <x:c r="B9" s="21" t="str">
        <x:v>2026-05-28 00:07</x:v>
      </x:c>
      <x:c r="C9" s="21" t="str">
        <x:v>P1 Revenue</x:v>
      </x:c>
      <x:c r="D9" s="21" t="str">
        <x:v>Queued</x:v>
      </x:c>
      <x:c r="E9" s="21" t="str">
        <x:v>Build</x:v>
      </x:c>
      <x:c r="F9" s="21" t="str">
        <x:v>Funnel Worker</x:v>
      </x:c>
      <x:c r="G9" s="21" t="str">
        <x:v>Faceless AI Content Machine</x:v>
      </x:c>
      <x:c r="H9" s="21" t="str">
        <x:v>Draft landing page and Shopify/Stripe funnel copy</x:v>
      </x:c>
      <x:c r="I9" s="21" t="str">
        <x:v>Offer Matrix / Funnel</x:v>
      </x:c>
      <x:c r="J9" s="21" t="str">
        <x:v>Shopify Stripe Funnel</x:v>
      </x:c>
      <x:c r="K9" s="21" t="str">
        <x:v>Yes</x:v>
      </x:c>
      <x:c r="L9" s="21" t="n">
        <x:v>0</x:v>
      </x:c>
      <x:c r="M9" s="21" t="str">
        <x:v>2026-05-28 10:07</x:v>
      </x:c>
      <x:c r="N9" s="21" t="str">
        <x:v>TASK-003</x:v>
      </x:c>
      <x:c r="O9" s="21" t="str">
        <x:v>Funnel draft ready</x:v>
      </x:c>
      <x:c r="P9" s="21" t="n">
        <x:v>95</x:v>
      </x:c>
      <x:c r="Q9" s="21" t="n">
        <x:v>40</x:v>
      </x:c>
      <x:c r="R9" s="21" t="str">
        <x:v>Draft funnel</x:v>
      </x:c>
      <x:c r="S9" s="21" t="str"/>
      <x:c r="T9" s="21" t="str"/>
    </x:row>
    <x:row r="10">
      <x:c r="A10" s="21" t="str">
        <x:v>TASK-008</x:v>
      </x:c>
      <x:c r="B10" s="21" t="str">
        <x:v>2026-05-28 00:07</x:v>
      </x:c>
      <x:c r="C10" s="21" t="str">
        <x:v>P1 Revenue</x:v>
      </x:c>
      <x:c r="D10" s="21" t="str">
        <x:v>Queued</x:v>
      </x:c>
      <x:c r="E10" s="21" t="str">
        <x:v>Verify</x:v>
      </x:c>
      <x:c r="F10" s="21" t="str">
        <x:v>Playwright Worker</x:v>
      </x:c>
      <x:c r="G10" s="21" t="str">
        <x:v>Preview Verification</x:v>
      </x:c>
      <x:c r="H10" s="21" t="str">
        <x:v>Inspect preview landing page and capture screenshot</x:v>
      </x:c>
      <x:c r="I10" s="21" t="str">
        <x:v>Vercel Preview</x:v>
      </x:c>
      <x:c r="J10" s="21" t="str">
        <x:v>Verification Report</x:v>
      </x:c>
      <x:c r="K10" s="21" t="str">
        <x:v>No</x:v>
      </x:c>
      <x:c r="L10" s="21" t="n">
        <x:v>0.2</x:v>
      </x:c>
      <x:c r="M10" s="21" t="str">
        <x:v>2026-05-29 00:07</x:v>
      </x:c>
      <x:c r="N10" s="21" t="str">
        <x:v>TASK-007</x:v>
      </x:c>
      <x:c r="O10" s="21" t="str">
        <x:v>Preview verified</x:v>
      </x:c>
      <x:c r="P10" s="21" t="n">
        <x:v>60</x:v>
      </x:c>
      <x:c r="Q10" s="21" t="n">
        <x:v>15</x:v>
      </x:c>
      <x:c r="R10" s="21" t="str">
        <x:v>Wait for preview</x:v>
      </x:c>
      <x:c r="S10" s="21" t="str"/>
      <x:c r="T10" s="21" t="str"/>
    </x:row>
    <x:row r="11">
      <x:c r="A11" s="21" t="str">
        <x:v>TASK-009</x:v>
      </x:c>
      <x:c r="B11" s="21" t="str">
        <x:v>2026-05-28 00:07</x:v>
      </x:c>
      <x:c r="C11" s="21" t="str">
        <x:v>P1 Revenue</x:v>
      </x:c>
      <x:c r="D11" s="21" t="str">
        <x:v>Queued</x:v>
      </x:c>
      <x:c r="E11" s="21" t="str">
        <x:v>Launch</x:v>
      </x:c>
      <x:c r="F11" s="21" t="str">
        <x:v>Governance Worker</x:v>
      </x:c>
      <x:c r="G11" s="21" t="str">
        <x:v>Approval Gate</x:v>
      </x:c>
      <x:c r="H11" s="21" t="str">
        <x:v>Request approval for first 10 posts and test checkout</x:v>
      </x:c>
      <x:c r="I11" s="21" t="str">
        <x:v>Content Queue / Funnel</x:v>
      </x:c>
      <x:c r="J11" s="21" t="str">
        <x:v>Approval Queue</x:v>
      </x:c>
      <x:c r="K11" s="21" t="str">
        <x:v>Yes</x:v>
      </x:c>
      <x:c r="L11" s="21" t="n">
        <x:v>0</x:v>
      </x:c>
      <x:c r="M11" s="21" t="str">
        <x:v>2026-05-29 00:07</x:v>
      </x:c>
      <x:c r="N11" s="21" t="str">
        <x:v>TASK-006,TASK-007</x:v>
      </x:c>
      <x:c r="O11" s="21" t="str">
        <x:v>Approval decision logged</x:v>
      </x:c>
      <x:c r="P11" s="21" t="n">
        <x:v>90</x:v>
      </x:c>
      <x:c r="Q11" s="21" t="n">
        <x:v>60</x:v>
      </x:c>
      <x:c r="R11" s="21" t="str">
        <x:v>Ask human</x:v>
      </x:c>
      <x:c r="S11" s="21" t="str"/>
      <x:c r="T11" s="21" t="str"/>
    </x:row>
    <x:row r="12">
      <x:c r="A12" s="21" t="str">
        <x:v>TASK-010</x:v>
      </x:c>
      <x:c r="B12" s="21" t="str">
        <x:v>2026-05-28 00:07</x:v>
      </x:c>
      <x:c r="C12" s="21" t="str">
        <x:v>P1 Revenue</x:v>
      </x:c>
      <x:c r="D12" s="21" t="str">
        <x:v>Queued</x:v>
      </x:c>
      <x:c r="E12" s="21" t="str">
        <x:v>Operate</x:v>
      </x:c>
      <x:c r="F12" s="21" t="str">
        <x:v>Analytics Worker</x:v>
      </x:c>
      <x:c r="G12" s="21" t="str">
        <x:v>Revenue Tracking</x:v>
      </x:c>
      <x:c r="H12" s="21" t="str">
        <x:v>Import first analytics after launch</x:v>
      </x:c>
      <x:c r="I12" s="21" t="str">
        <x:v>Shopify/Stripe/Social</x:v>
      </x:c>
      <x:c r="J12" s="21" t="str">
        <x:v>Analytics Import</x:v>
      </x:c>
      <x:c r="K12" s="21" t="str">
        <x:v>No</x:v>
      </x:c>
      <x:c r="L12" s="21" t="n">
        <x:v>0.25</x:v>
      </x:c>
      <x:c r="M12" s="21" t="str">
        <x:v>2026-05-30 00:07</x:v>
      </x:c>
      <x:c r="N12" s="21" t="str">
        <x:v>TASK-009</x:v>
      </x:c>
      <x:c r="O12" s="21" t="str">
        <x:v>Analytics updated</x:v>
      </x:c>
      <x:c r="P12" s="21" t="n">
        <x:v>85</x:v>
      </x:c>
      <x:c r="Q12" s="21" t="n">
        <x:v>10</x:v>
      </x:c>
      <x:c r="R12" s="21" t="str">
        <x:v>After launch</x:v>
      </x:c>
      <x:c r="S12" s="21" t="str"/>
      <x:c r="T12" s="21" t="str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</x:row>
  </x:sheetData>
  <x:mergeCells>
    <x:mergeCell ref="A1:T1"/>
  </x:mergeCells>
  <x:conditionalFormatting sqref="D3:D502">
    <x:cfRule type="expression" dxfId="0" priority="1">
      <x:formula>D3="Needs Approval"</x:formula>
    </x:cfRule>
    <x:cfRule type="expression" dxfId="1" priority="2">
      <x:formula>D3="Blocked"</x:formula>
    </x:cfRule>
    <x:cfRule type="expression" dxfId="2" priority="3">
      <x:formula>D3="Done"</x:formula>
    </x:cfRule>
  </x:conditionalFormatting>
  <x:conditionalFormatting sqref="P3:P502">
    <x:cfRule type="colorScale" priority="4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Q3:Q502">
    <x:cfRule type="colorScale" priority="5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dataValidations count="3">
    <x:dataValidation type="list" sqref="C3:C502">
      <x:formula1>"P0 Emergency,P1 Revenue,P2 Growth,P3 Maintenance"</x:formula1>
    </x:dataValidation>
    <x:dataValidation type="list" sqref="D3:D502">
      <x:formula1>"Queued,Ready,Running,Blocked,Needs Approval,Done,Failed,Killed,Replicate"</x:formula1>
    </x:dataValidation>
    <x:dataValidation type="list" sqref="K3:K502">
      <x:formula1>"Yes,No,Conditional"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8c231c53024204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12" hidden="0" customWidth="1"/>
  </x:cols>
  <x:sheetData>
    <x:row r="1" ht="26" customHeight="1">
      <x:c r="A1" s="48" t="str">
        <x:v>Parallel Worker Queue Control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</x:row>
    <x:row r="2" ht="30" customHeight="1">
      <x:c r="A2" s="47" t="str">
        <x:v>Worker</x:v>
      </x:c>
      <x:c r="B2" s="47" t="str">
        <x:v>Queue Type</x:v>
      </x:c>
      <x:c r="C2" s="47" t="str">
        <x:v>Current Capacity</x:v>
      </x:c>
      <x:c r="D2" s="47" t="str">
        <x:v>Max Parallel</x:v>
      </x:c>
      <x:c r="E2" s="47" t="str">
        <x:v>Active Tasks</x:v>
      </x:c>
      <x:c r="F2" s="47" t="str">
        <x:v>Queued Tasks</x:v>
      </x:c>
      <x:c r="G2" s="47" t="str">
        <x:v>Blocked Tasks</x:v>
      </x:c>
      <x:c r="H2" s="47" t="str">
        <x:v>Cost Cap/Day</x:v>
      </x:c>
      <x:c r="I2" s="47" t="str">
        <x:v>Primary Inputs</x:v>
      </x:c>
      <x:c r="J2" s="47" t="str">
        <x:v>Primary Outputs</x:v>
      </x:c>
      <x:c r="K2" s="47" t="str">
        <x:v>Escalation Rule</x:v>
      </x:c>
      <x:c r="L2" s="47" t="str">
        <x:v>Status</x:v>
      </x:c>
    </x:row>
    <x:row r="3">
      <x:c r="A3" s="21" t="str">
        <x:v>Master Orchestrator</x:v>
      </x:c>
      <x:c r="B3" s="21" t="str">
        <x:v>Control</x:v>
      </x:c>
      <x:c r="C3" s="21" t="n">
        <x:v>1</x:v>
      </x:c>
      <x:c r="D3" s="21" t="n">
        <x:v>3</x:v>
      </x:c>
      <x:c r="E3" s="21" t="n">
        <x:f>COUNTIFS('21 Master Task Queue'!F:F,A3,'21 Master Task Queue'!D:D,"Running")</x:f>
        <x:v>0</x:v>
      </x:c>
      <x:c r="F3" s="21" t="n">
        <x:f>COUNTIFS('21 Master Task Queue'!F:F,A3,'21 Master Task Queue'!D:D,"Queued")</x:f>
        <x:v>0</x:v>
      </x:c>
      <x:c r="G3" s="21" t="n">
        <x:f>COUNTIFS('21 Master Task Queue'!F:F,A3,'21 Master Task Queue'!D:D,"Blocked")</x:f>
        <x:v>0</x:v>
      </x:c>
      <x:c r="H3" s="21" t="str">
        <x:v>$2</x:v>
      </x:c>
      <x:c r="I3" s="21" t="str">
        <x:v>Queue inputs</x:v>
      </x:c>
      <x:c r="J3" s="21" t="str">
        <x:v>Workbook outputs</x:v>
      </x:c>
      <x:c r="K3" s="21" t="str">
        <x:v>Escalate approval/risk</x:v>
      </x:c>
      <x:c r="L3" s="21" t="str">
        <x:v>Ready</x:v>
      </x:c>
    </x:row>
    <x:row r="4">
      <x:c r="A4" s="21" t="str">
        <x:v>MCP Sync Worker</x:v>
      </x:c>
      <x:c r="B4" s="21" t="str">
        <x:v>Worker</x:v>
      </x:c>
      <x:c r="C4" s="21" t="n">
        <x:v>1</x:v>
      </x:c>
      <x:c r="D4" s="21" t="n">
        <x:v>3</x:v>
      </x:c>
      <x:c r="E4" s="21" t="n">
        <x:f>COUNTIFS('21 Master Task Queue'!F:F,A4,'21 Master Task Queue'!D:D,"Running")</x:f>
        <x:v>0</x:v>
      </x:c>
      <x:c r="F4" s="21" t="n">
        <x:f>COUNTIFS('21 Master Task Queue'!F:F,A4,'21 Master Task Queue'!D:D,"Queued")</x:f>
        <x:v>0</x:v>
      </x:c>
      <x:c r="G4" s="21" t="n">
        <x:f>COUNTIFS('21 Master Task Queue'!F:F,A4,'21 Master Task Queue'!D:D,"Blocked")</x:f>
        <x:v>0</x:v>
      </x:c>
      <x:c r="H4" s="21" t="str">
        <x:v>$2</x:v>
      </x:c>
      <x:c r="I4" s="21" t="str">
        <x:v>Queue inputs</x:v>
      </x:c>
      <x:c r="J4" s="21" t="str">
        <x:v>Workbook outputs</x:v>
      </x:c>
      <x:c r="K4" s="21" t="str">
        <x:v>Escalate approval/risk</x:v>
      </x:c>
      <x:c r="L4" s="21" t="str">
        <x:v>Ready</x:v>
      </x:c>
    </x:row>
    <x:row r="5">
      <x:c r="A5" s="21" t="str">
        <x:v>Trend Hunter</x:v>
      </x:c>
      <x:c r="B5" s="21" t="str">
        <x:v>Worker</x:v>
      </x:c>
      <x:c r="C5" s="21" t="n">
        <x:v>1</x:v>
      </x:c>
      <x:c r="D5" s="21" t="n">
        <x:v>3</x:v>
      </x:c>
      <x:c r="E5" s="21" t="n">
        <x:f>COUNTIFS('21 Master Task Queue'!F:F,A5,'21 Master Task Queue'!D:D,"Running")</x:f>
        <x:v>0</x:v>
      </x:c>
      <x:c r="F5" s="21" t="n">
        <x:f>COUNTIFS('21 Master Task Queue'!F:F,A5,'21 Master Task Queue'!D:D,"Queued")</x:f>
        <x:v>1</x:v>
      </x:c>
      <x:c r="G5" s="21" t="n">
        <x:f>COUNTIFS('21 Master Task Queue'!F:F,A5,'21 Master Task Queue'!D:D,"Blocked")</x:f>
        <x:v>0</x:v>
      </x:c>
      <x:c r="H5" s="21" t="str">
        <x:v>$2</x:v>
      </x:c>
      <x:c r="I5" s="21" t="str">
        <x:v>Queue inputs</x:v>
      </x:c>
      <x:c r="J5" s="21" t="str">
        <x:v>Workbook outputs</x:v>
      </x:c>
      <x:c r="K5" s="21" t="str">
        <x:v>Escalate approval/risk</x:v>
      </x:c>
      <x:c r="L5" s="21" t="str">
        <x:v>Ready</x:v>
      </x:c>
    </x:row>
    <x:row r="6">
      <x:c r="A6" s="21" t="str">
        <x:v>Hook Worker</x:v>
      </x:c>
      <x:c r="B6" s="21" t="str">
        <x:v>Worker</x:v>
      </x:c>
      <x:c r="C6" s="21" t="n">
        <x:v>1</x:v>
      </x:c>
      <x:c r="D6" s="21" t="n">
        <x:v>3</x:v>
      </x:c>
      <x:c r="E6" s="21" t="n">
        <x:f>COUNTIFS('21 Master Task Queue'!F:F,A6,'21 Master Task Queue'!D:D,"Running")</x:f>
        <x:v>0</x:v>
      </x:c>
      <x:c r="F6" s="21" t="n">
        <x:f>COUNTIFS('21 Master Task Queue'!F:F,A6,'21 Master Task Queue'!D:D,"Queued")</x:f>
        <x:v>1</x:v>
      </x:c>
      <x:c r="G6" s="21" t="n">
        <x:f>COUNTIFS('21 Master Task Queue'!F:F,A6,'21 Master Task Queue'!D:D,"Blocked")</x:f>
        <x:v>0</x:v>
      </x:c>
      <x:c r="H6" s="21" t="str">
        <x:v>$2</x:v>
      </x:c>
      <x:c r="I6" s="21" t="str">
        <x:v>Queue inputs</x:v>
      </x:c>
      <x:c r="J6" s="21" t="str">
        <x:v>Workbook outputs</x:v>
      </x:c>
      <x:c r="K6" s="21" t="str">
        <x:v>Escalate approval/risk</x:v>
      </x:c>
      <x:c r="L6" s="21" t="str">
        <x:v>Ready</x:v>
      </x:c>
    </x:row>
    <x:row r="7">
      <x:c r="A7" s="21" t="str">
        <x:v>Script Worker</x:v>
      </x:c>
      <x:c r="B7" s="21" t="str">
        <x:v>Worker</x:v>
      </x:c>
      <x:c r="C7" s="21" t="n">
        <x:v>1</x:v>
      </x:c>
      <x:c r="D7" s="21" t="n">
        <x:v>3</x:v>
      </x:c>
      <x:c r="E7" s="21" t="n">
        <x:f>COUNTIFS('21 Master Task Queue'!F:F,A7,'21 Master Task Queue'!D:D,"Running")</x:f>
        <x:v>0</x:v>
      </x:c>
      <x:c r="F7" s="21" t="n">
        <x:f>COUNTIFS('21 Master Task Queue'!F:F,A7,'21 Master Task Queue'!D:D,"Queued")</x:f>
        <x:v>1</x:v>
      </x:c>
      <x:c r="G7" s="21" t="n">
        <x:f>COUNTIFS('21 Master Task Queue'!F:F,A7,'21 Master Task Queue'!D:D,"Blocked")</x:f>
        <x:v>0</x:v>
      </x:c>
      <x:c r="H7" s="21" t="str">
        <x:v>$2</x:v>
      </x:c>
      <x:c r="I7" s="21" t="str">
        <x:v>Queue inputs</x:v>
      </x:c>
      <x:c r="J7" s="21" t="str">
        <x:v>Workbook outputs</x:v>
      </x:c>
      <x:c r="K7" s="21" t="str">
        <x:v>Escalate approval/risk</x:v>
      </x:c>
      <x:c r="L7" s="21" t="str">
        <x:v>Ready</x:v>
      </x:c>
    </x:row>
    <x:row r="8">
      <x:c r="A8" s="21" t="str">
        <x:v>Avatar Worker</x:v>
      </x:c>
      <x:c r="B8" s="21" t="str">
        <x:v>Worker</x:v>
      </x:c>
      <x:c r="C8" s="21" t="n">
        <x:v>1</x:v>
      </x:c>
      <x:c r="D8" s="21" t="n">
        <x:v>3</x:v>
      </x:c>
      <x:c r="E8" s="21" t="n">
        <x:f>COUNTIFS('21 Master Task Queue'!F:F,A8,'21 Master Task Queue'!D:D,"Running")</x:f>
        <x:v>0</x:v>
      </x:c>
      <x:c r="F8" s="21" t="n">
        <x:f>COUNTIFS('21 Master Task Queue'!F:F,A8,'21 Master Task Queue'!D:D,"Queued")</x:f>
        <x:v>1</x:v>
      </x:c>
      <x:c r="G8" s="21" t="n">
        <x:f>COUNTIFS('21 Master Task Queue'!F:F,A8,'21 Master Task Queue'!D:D,"Blocked")</x:f>
        <x:v>0</x:v>
      </x:c>
      <x:c r="H8" s="21" t="str">
        <x:v>$2</x:v>
      </x:c>
      <x:c r="I8" s="21" t="str">
        <x:v>Queue inputs</x:v>
      </x:c>
      <x:c r="J8" s="21" t="str">
        <x:v>Workbook outputs</x:v>
      </x:c>
      <x:c r="K8" s="21" t="str">
        <x:v>Escalate approval/risk</x:v>
      </x:c>
      <x:c r="L8" s="21" t="str">
        <x:v>Ready</x:v>
      </x:c>
    </x:row>
    <x:row r="9">
      <x:c r="A9" s="21" t="str">
        <x:v>Funnel Worker</x:v>
      </x:c>
      <x:c r="B9" s="21" t="str">
        <x:v>Worker</x:v>
      </x:c>
      <x:c r="C9" s="21" t="n">
        <x:v>1</x:v>
      </x:c>
      <x:c r="D9" s="21" t="n">
        <x:v>3</x:v>
      </x:c>
      <x:c r="E9" s="21" t="n">
        <x:f>COUNTIFS('21 Master Task Queue'!F:F,A9,'21 Master Task Queue'!D:D,"Running")</x:f>
        <x:v>0</x:v>
      </x:c>
      <x:c r="F9" s="21" t="n">
        <x:f>COUNTIFS('21 Master Task Queue'!F:F,A9,'21 Master Task Queue'!D:D,"Queued")</x:f>
        <x:v>1</x:v>
      </x:c>
      <x:c r="G9" s="21" t="n">
        <x:f>COUNTIFS('21 Master Task Queue'!F:F,A9,'21 Master Task Queue'!D:D,"Blocked")</x:f>
        <x:v>0</x:v>
      </x:c>
      <x:c r="H9" s="21" t="str">
        <x:v>$2</x:v>
      </x:c>
      <x:c r="I9" s="21" t="str">
        <x:v>Queue inputs</x:v>
      </x:c>
      <x:c r="J9" s="21" t="str">
        <x:v>Workbook outputs</x:v>
      </x:c>
      <x:c r="K9" s="21" t="str">
        <x:v>Escalate approval/risk</x:v>
      </x:c>
      <x:c r="L9" s="21" t="str">
        <x:v>Ready</x:v>
      </x:c>
    </x:row>
    <x:row r="10">
      <x:c r="A10" s="21" t="str">
        <x:v>Codex Worker</x:v>
      </x:c>
      <x:c r="B10" s="21" t="str">
        <x:v>Worker</x:v>
      </x:c>
      <x:c r="C10" s="21" t="n">
        <x:v>1</x:v>
      </x:c>
      <x:c r="D10" s="21" t="n">
        <x:v>3</x:v>
      </x:c>
      <x:c r="E10" s="21" t="n">
        <x:f>COUNTIFS('21 Master Task Queue'!F:F,A10,'21 Master Task Queue'!D:D,"Running")</x:f>
        <x:v>0</x:v>
      </x:c>
      <x:c r="F10" s="21" t="n">
        <x:f>COUNTIFS('21 Master Task Queue'!F:F,A10,'21 Master Task Queue'!D:D,"Queued")</x:f>
        <x:v>0</x:v>
      </x:c>
      <x:c r="G10" s="21" t="n">
        <x:f>COUNTIFS('21 Master Task Queue'!F:F,A10,'21 Master Task Queue'!D:D,"Blocked")</x:f>
        <x:v>0</x:v>
      </x:c>
      <x:c r="H10" s="21" t="str">
        <x:v>$2</x:v>
      </x:c>
      <x:c r="I10" s="21" t="str">
        <x:v>Queue inputs</x:v>
      </x:c>
      <x:c r="J10" s="21" t="str">
        <x:v>Workbook outputs</x:v>
      </x:c>
      <x:c r="K10" s="21" t="str">
        <x:v>Escalate approval/risk</x:v>
      </x:c>
      <x:c r="L10" s="21" t="str">
        <x:v>Ready</x:v>
      </x:c>
    </x:row>
    <x:row r="11">
      <x:c r="A11" s="21" t="str">
        <x:v>Playwright Worker</x:v>
      </x:c>
      <x:c r="B11" s="21" t="str">
        <x:v>Worker</x:v>
      </x:c>
      <x:c r="C11" s="21" t="n">
        <x:v>1</x:v>
      </x:c>
      <x:c r="D11" s="21" t="n">
        <x:v>3</x:v>
      </x:c>
      <x:c r="E11" s="21" t="n">
        <x:f>COUNTIFS('21 Master Task Queue'!F:F,A11,'21 Master Task Queue'!D:D,"Running")</x:f>
        <x:v>0</x:v>
      </x:c>
      <x:c r="F11" s="21" t="n">
        <x:f>COUNTIFS('21 Master Task Queue'!F:F,A11,'21 Master Task Queue'!D:D,"Queued")</x:f>
        <x:v>1</x:v>
      </x:c>
      <x:c r="G11" s="21" t="n">
        <x:f>COUNTIFS('21 Master Task Queue'!F:F,A11,'21 Master Task Queue'!D:D,"Blocked")</x:f>
        <x:v>0</x:v>
      </x:c>
      <x:c r="H11" s="21" t="str">
        <x:v>$2</x:v>
      </x:c>
      <x:c r="I11" s="21" t="str">
        <x:v>Queue inputs</x:v>
      </x:c>
      <x:c r="J11" s="21" t="str">
        <x:v>Workbook outputs</x:v>
      </x:c>
      <x:c r="K11" s="21" t="str">
        <x:v>Escalate approval/risk</x:v>
      </x:c>
      <x:c r="L11" s="21" t="str">
        <x:v>Ready</x:v>
      </x:c>
    </x:row>
    <x:row r="12">
      <x:c r="A12" s="21" t="str">
        <x:v>Analytics Worker</x:v>
      </x:c>
      <x:c r="B12" s="21" t="str">
        <x:v>Worker</x:v>
      </x:c>
      <x:c r="C12" s="21" t="n">
        <x:v>1</x:v>
      </x:c>
      <x:c r="D12" s="21" t="n">
        <x:v>3</x:v>
      </x:c>
      <x:c r="E12" s="21" t="n">
        <x:f>COUNTIFS('21 Master Task Queue'!F:F,A12,'21 Master Task Queue'!D:D,"Running")</x:f>
        <x:v>0</x:v>
      </x:c>
      <x:c r="F12" s="21" t="n">
        <x:f>COUNTIFS('21 Master Task Queue'!F:F,A12,'21 Master Task Queue'!D:D,"Queued")</x:f>
        <x:v>1</x:v>
      </x:c>
      <x:c r="G12" s="21" t="n">
        <x:f>COUNTIFS('21 Master Task Queue'!F:F,A12,'21 Master Task Queue'!D:D,"Blocked")</x:f>
        <x:v>0</x:v>
      </x:c>
      <x:c r="H12" s="21" t="str">
        <x:v>$2</x:v>
      </x:c>
      <x:c r="I12" s="21" t="str">
        <x:v>Queue inputs</x:v>
      </x:c>
      <x:c r="J12" s="21" t="str">
        <x:v>Workbook outputs</x:v>
      </x:c>
      <x:c r="K12" s="21" t="str">
        <x:v>Escalate approval/risk</x:v>
      </x:c>
      <x:c r="L12" s="21" t="str">
        <x:v>Ready</x:v>
      </x:c>
    </x:row>
    <x:row r="13">
      <x:c r="A13" s="21" t="str">
        <x:v>Governance Worker</x:v>
      </x:c>
      <x:c r="B13" s="21" t="str">
        <x:v>Worker</x:v>
      </x:c>
      <x:c r="C13" s="21" t="n">
        <x:v>1</x:v>
      </x:c>
      <x:c r="D13" s="21" t="n">
        <x:v>3</x:v>
      </x:c>
      <x:c r="E13" s="21" t="n">
        <x:f>COUNTIFS('21 Master Task Queue'!F:F,A13,'21 Master Task Queue'!D:D,"Running")</x:f>
        <x:v>0</x:v>
      </x:c>
      <x:c r="F13" s="21" t="n">
        <x:f>COUNTIFS('21 Master Task Queue'!F:F,A13,'21 Master Task Queue'!D:D,"Queued")</x:f>
        <x:v>1</x:v>
      </x:c>
      <x:c r="G13" s="21" t="n">
        <x:f>COUNTIFS('21 Master Task Queue'!F:F,A13,'21 Master Task Queue'!D:D,"Blocked")</x:f>
        <x:v>0</x:v>
      </x:c>
      <x:c r="H13" s="21" t="str">
        <x:v>$2</x:v>
      </x:c>
      <x:c r="I13" s="21" t="str">
        <x:v>Queue inputs</x:v>
      </x:c>
      <x:c r="J13" s="21" t="str">
        <x:v>Workbook outputs</x:v>
      </x:c>
      <x:c r="K13" s="21" t="str">
        <x:v>Escalate approval/risk</x:v>
      </x:c>
      <x:c r="L13" s="21" t="str">
        <x:v>Ready</x:v>
      </x:c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b7540ee36684c38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6" customHeight="1">
      <x:c r="A1" s="48" t="str">
        <x:v>7-Day Content Schedule Queue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</x:row>
    <x:row r="2" ht="30" customHeight="1">
      <x:c r="A2" s="47" t="str">
        <x:v>Post ID</x:v>
      </x:c>
      <x:c r="B2" s="47" t="str">
        <x:v>Campaign</x:v>
      </x:c>
      <x:c r="C2" s="47" t="str">
        <x:v>Platform</x:v>
      </x:c>
      <x:c r="D2" s="47" t="str">
        <x:v>Account</x:v>
      </x:c>
      <x:c r="E2" s="47" t="str">
        <x:v>Date</x:v>
      </x:c>
      <x:c r="F2" s="47" t="str">
        <x:v>Time</x:v>
      </x:c>
      <x:c r="G2" s="47" t="str">
        <x:v>Status</x:v>
      </x:c>
      <x:c r="H2" s="47" t="str">
        <x:v>Hook ID</x:v>
      </x:c>
      <x:c r="I2" s="47" t="str">
        <x:v>Script ID</x:v>
      </x:c>
      <x:c r="J2" s="47" t="str">
        <x:v>Avatar</x:v>
      </x:c>
      <x:c r="K2" s="47" t="str">
        <x:v>Format</x:v>
      </x:c>
      <x:c r="L2" s="47" t="str">
        <x:v>CTA</x:v>
      </x:c>
      <x:c r="M2" s="47" t="str">
        <x:v>Funnel URL</x:v>
      </x:c>
      <x:c r="N2" s="47" t="str">
        <x:v>Approval</x:v>
      </x:c>
      <x:c r="O2" s="47" t="str">
        <x:v>Performance Due</x:v>
      </x:c>
      <x:c r="P2" s="47" t="str">
        <x:v>Views</x:v>
      </x:c>
      <x:c r="Q2" s="47" t="str">
        <x:v>Clicks</x:v>
      </x:c>
      <x:c r="R2" s="47" t="str">
        <x:v>Leads</x:v>
      </x:c>
      <x:c r="S2" s="47" t="str">
        <x:v>Sales</x:v>
      </x:c>
      <x:c r="T2" s="47" t="str">
        <x:v>Next Variant</x:v>
      </x:c>
    </x:row>
    <x:row r="3">
      <x:c r="A3" s="21" t="str">
        <x:v>POST-001</x:v>
      </x:c>
      <x:c r="B3" s="21" t="str">
        <x:v>Faceless AI Content Machine</x:v>
      </x:c>
      <x:c r="C3" s="21" t="str">
        <x:v>Facebook Reels</x:v>
      </x:c>
      <x:c r="D3" s="21" t="str">
        <x:v>Test Account 2</x:v>
      </x:c>
      <x:c r="E3" s="21" t="str">
        <x:v>2026-05-29</x:v>
      </x:c>
      <x:c r="F3" s="21" t="str">
        <x:v>09:00</x:v>
      </x:c>
      <x:c r="G3" s="21" t="str">
        <x:v>Draft</x:v>
      </x:c>
      <x:c r="H3" s="21" t="str">
        <x:v>HOOK-001</x:v>
      </x:c>
      <x:c r="I3" s="21" t="str">
        <x:v>SCRIPT-001</x:v>
      </x:c>
      <x:c r="J3" s="21" t="str">
        <x:v>AI Founder Avatar</x:v>
      </x:c>
      <x:c r="K3" s="21" t="str">
        <x:v>Avatar short video</x:v>
      </x:c>
      <x:c r="L3" s="21" t="str">
        <x:v>Download checklist</x:v>
      </x:c>
      <x:c r="M3" s="21" t="str">
        <x:v>TBD landing page</x:v>
      </x:c>
      <x:c r="N3" s="21" t="str">
        <x:v>Needs Approval</x:v>
      </x:c>
      <x:c r="O3" s="21" t="str">
        <x:v>2026-05-30</x:v>
      </x:c>
      <x:c r="P3" s="21" t="str"/>
      <x:c r="Q3" s="21" t="str"/>
      <x:c r="R3" s="21" t="str"/>
      <x:c r="S3" s="21" t="str"/>
      <x:c r="T3" s="21" t="str"/>
    </x:row>
    <x:row r="4">
      <x:c r="A4" s="21" t="str">
        <x:v>POST-002</x:v>
      </x:c>
      <x:c r="B4" s="21" t="str">
        <x:v>Faceless AI Content Machine</x:v>
      </x:c>
      <x:c r="C4" s="21" t="str">
        <x:v>TikTok</x:v>
      </x:c>
      <x:c r="D4" s="21" t="str">
        <x:v>Test Account 3</x:v>
      </x:c>
      <x:c r="E4" s="21" t="str">
        <x:v>2026-05-29</x:v>
      </x:c>
      <x:c r="F4" s="21" t="str">
        <x:v>13:00</x:v>
      </x:c>
      <x:c r="G4" s="21" t="str">
        <x:v>Draft</x:v>
      </x:c>
      <x:c r="H4" s="21" t="str">
        <x:v>HOOK-002</x:v>
      </x:c>
      <x:c r="I4" s="21" t="str">
        <x:v>SCRIPT-002</x:v>
      </x:c>
      <x:c r="J4" s="21" t="str">
        <x:v>Faceless Creator Coach</x:v>
      </x:c>
      <x:c r="K4" s="21" t="str">
        <x:v>Avatar short video</x:v>
      </x:c>
      <x:c r="L4" s="21" t="str">
        <x:v>Download checklist</x:v>
      </x:c>
      <x:c r="M4" s="21" t="str">
        <x:v>TBD landing page</x:v>
      </x:c>
      <x:c r="N4" s="21" t="str">
        <x:v>Needs Approval</x:v>
      </x:c>
      <x:c r="O4" s="21" t="str">
        <x:v>2026-05-30</x:v>
      </x:c>
      <x:c r="P4" s="21" t="str"/>
      <x:c r="Q4" s="21" t="str"/>
      <x:c r="R4" s="21" t="str"/>
      <x:c r="S4" s="21" t="str"/>
      <x:c r="T4" s="21" t="str"/>
    </x:row>
    <x:row r="5">
      <x:c r="A5" s="21" t="str">
        <x:v>POST-003</x:v>
      </x:c>
      <x:c r="B5" s="21" t="str">
        <x:v>Faceless AI Content Machine</x:v>
      </x:c>
      <x:c r="C5" s="21" t="str">
        <x:v>YouTube Shorts</x:v>
      </x:c>
      <x:c r="D5" s="21" t="str">
        <x:v>Test Account 1</x:v>
      </x:c>
      <x:c r="E5" s="21" t="str">
        <x:v>2026-05-29</x:v>
      </x:c>
      <x:c r="F5" s="21" t="str">
        <x:v>19:00</x:v>
      </x:c>
      <x:c r="G5" s="21" t="str">
        <x:v>Draft</x:v>
      </x:c>
      <x:c r="H5" s="21" t="str">
        <x:v>HOOK-003</x:v>
      </x:c>
      <x:c r="I5" s="21" t="str">
        <x:v>SCRIPT-003</x:v>
      </x:c>
      <x:c r="J5" s="21" t="str">
        <x:v>AI Founder Avatar</x:v>
      </x:c>
      <x:c r="K5" s="21" t="str">
        <x:v>Avatar short video</x:v>
      </x:c>
      <x:c r="L5" s="21" t="str">
        <x:v>Download checklist</x:v>
      </x:c>
      <x:c r="M5" s="21" t="str">
        <x:v>TBD landing page</x:v>
      </x:c>
      <x:c r="N5" s="21" t="str">
        <x:v>Needs Approval</x:v>
      </x:c>
      <x:c r="O5" s="21" t="str">
        <x:v>2026-05-30</x:v>
      </x:c>
      <x:c r="P5" s="21" t="str"/>
      <x:c r="Q5" s="21" t="str"/>
      <x:c r="R5" s="21" t="str"/>
      <x:c r="S5" s="21" t="str"/>
      <x:c r="T5" s="21" t="str"/>
    </x:row>
    <x:row r="6">
      <x:c r="A6" s="21" t="str">
        <x:v>POST-004</x:v>
      </x:c>
      <x:c r="B6" s="21" t="str">
        <x:v>Faceless AI Content Machine</x:v>
      </x:c>
      <x:c r="C6" s="21" t="str">
        <x:v>Instagram Reels</x:v>
      </x:c>
      <x:c r="D6" s="21" t="str">
        <x:v>Test Account 2</x:v>
      </x:c>
      <x:c r="E6" s="21" t="str">
        <x:v>2026-05-30</x:v>
      </x:c>
      <x:c r="F6" s="21" t="str">
        <x:v>09:00</x:v>
      </x:c>
      <x:c r="G6" s="21" t="str">
        <x:v>Draft</x:v>
      </x:c>
      <x:c r="H6" s="21" t="str">
        <x:v>HOOK-004</x:v>
      </x:c>
      <x:c r="I6" s="21" t="str">
        <x:v>SCRIPT-004</x:v>
      </x:c>
      <x:c r="J6" s="21" t="str">
        <x:v>Faceless Creator Coach</x:v>
      </x:c>
      <x:c r="K6" s="21" t="str">
        <x:v>Avatar short video</x:v>
      </x:c>
      <x:c r="L6" s="21" t="str">
        <x:v>Download checklist</x:v>
      </x:c>
      <x:c r="M6" s="21" t="str">
        <x:v>TBD landing page</x:v>
      </x:c>
      <x:c r="N6" s="21" t="str">
        <x:v>Needs Approval</x:v>
      </x:c>
      <x:c r="O6" s="21" t="str">
        <x:v>2026-05-31</x:v>
      </x:c>
      <x:c r="P6" s="21" t="str"/>
      <x:c r="Q6" s="21" t="str"/>
      <x:c r="R6" s="21" t="str"/>
      <x:c r="S6" s="21" t="str"/>
      <x:c r="T6" s="21" t="str"/>
    </x:row>
    <x:row r="7">
      <x:c r="A7" s="21" t="str">
        <x:v>POST-005</x:v>
      </x:c>
      <x:c r="B7" s="21" t="str">
        <x:v>Faceless AI Content Machine</x:v>
      </x:c>
      <x:c r="C7" s="21" t="str">
        <x:v>Facebook Reels</x:v>
      </x:c>
      <x:c r="D7" s="21" t="str">
        <x:v>Test Account 3</x:v>
      </x:c>
      <x:c r="E7" s="21" t="str">
        <x:v>2026-05-30</x:v>
      </x:c>
      <x:c r="F7" s="21" t="str">
        <x:v>13:00</x:v>
      </x:c>
      <x:c r="G7" s="21" t="str">
        <x:v>Draft</x:v>
      </x:c>
      <x:c r="H7" s="21" t="str">
        <x:v>HOOK-005</x:v>
      </x:c>
      <x:c r="I7" s="21" t="str">
        <x:v>SCRIPT-005</x:v>
      </x:c>
      <x:c r="J7" s="21" t="str">
        <x:v>AI Founder Avatar</x:v>
      </x:c>
      <x:c r="K7" s="21" t="str">
        <x:v>Avatar short video</x:v>
      </x:c>
      <x:c r="L7" s="21" t="str">
        <x:v>Download checklist</x:v>
      </x:c>
      <x:c r="M7" s="21" t="str">
        <x:v>TBD landing page</x:v>
      </x:c>
      <x:c r="N7" s="21" t="str">
        <x:v>Needs Approval</x:v>
      </x:c>
      <x:c r="O7" s="21" t="str">
        <x:v>2026-05-31</x:v>
      </x:c>
      <x:c r="P7" s="21" t="str"/>
      <x:c r="Q7" s="21" t="str"/>
      <x:c r="R7" s="21" t="str"/>
      <x:c r="S7" s="21" t="str"/>
      <x:c r="T7" s="21" t="str"/>
    </x:row>
    <x:row r="8">
      <x:c r="A8" s="21" t="str">
        <x:v>POST-006</x:v>
      </x:c>
      <x:c r="B8" s="21" t="str">
        <x:v>Faceless AI Content Machine</x:v>
      </x:c>
      <x:c r="C8" s="21" t="str">
        <x:v>TikTok</x:v>
      </x:c>
      <x:c r="D8" s="21" t="str">
        <x:v>Test Account 1</x:v>
      </x:c>
      <x:c r="E8" s="21" t="str">
        <x:v>2026-05-30</x:v>
      </x:c>
      <x:c r="F8" s="21" t="str">
        <x:v>19:00</x:v>
      </x:c>
      <x:c r="G8" s="21" t="str">
        <x:v>Draft</x:v>
      </x:c>
      <x:c r="H8" s="21" t="str">
        <x:v>HOOK-006</x:v>
      </x:c>
      <x:c r="I8" s="21" t="str">
        <x:v>SCRIPT-006</x:v>
      </x:c>
      <x:c r="J8" s="21" t="str">
        <x:v>Faceless Creator Coach</x:v>
      </x:c>
      <x:c r="K8" s="21" t="str">
        <x:v>Avatar short video</x:v>
      </x:c>
      <x:c r="L8" s="21" t="str">
        <x:v>Download checklist</x:v>
      </x:c>
      <x:c r="M8" s="21" t="str">
        <x:v>TBD landing page</x:v>
      </x:c>
      <x:c r="N8" s="21" t="str">
        <x:v>Needs Approval</x:v>
      </x:c>
      <x:c r="O8" s="21" t="str">
        <x:v>2026-05-31</x:v>
      </x:c>
      <x:c r="P8" s="21" t="str"/>
      <x:c r="Q8" s="21" t="str"/>
      <x:c r="R8" s="21" t="str"/>
      <x:c r="S8" s="21" t="str"/>
      <x:c r="T8" s="21" t="str"/>
    </x:row>
    <x:row r="9">
      <x:c r="A9" s="21" t="str">
        <x:v>POST-007</x:v>
      </x:c>
      <x:c r="B9" s="21" t="str">
        <x:v>Faceless AI Content Machine</x:v>
      </x:c>
      <x:c r="C9" s="21" t="str">
        <x:v>YouTube Shorts</x:v>
      </x:c>
      <x:c r="D9" s="21" t="str">
        <x:v>Test Account 2</x:v>
      </x:c>
      <x:c r="E9" s="21" t="str">
        <x:v>2026-05-31</x:v>
      </x:c>
      <x:c r="F9" s="21" t="str">
        <x:v>09:00</x:v>
      </x:c>
      <x:c r="G9" s="21" t="str">
        <x:v>Draft</x:v>
      </x:c>
      <x:c r="H9" s="21" t="str">
        <x:v>HOOK-007</x:v>
      </x:c>
      <x:c r="I9" s="21" t="str">
        <x:v>SCRIPT-007</x:v>
      </x:c>
      <x:c r="J9" s="21" t="str">
        <x:v>AI Founder Avatar</x:v>
      </x:c>
      <x:c r="K9" s="21" t="str">
        <x:v>Avatar short video</x:v>
      </x:c>
      <x:c r="L9" s="21" t="str">
        <x:v>Download checklist</x:v>
      </x:c>
      <x:c r="M9" s="21" t="str">
        <x:v>TBD landing page</x:v>
      </x:c>
      <x:c r="N9" s="21" t="str">
        <x:v>Needs Approval</x:v>
      </x:c>
      <x:c r="O9" s="21" t="str">
        <x:v>2026-06-01</x:v>
      </x:c>
      <x:c r="P9" s="21" t="str"/>
      <x:c r="Q9" s="21" t="str"/>
      <x:c r="R9" s="21" t="str"/>
      <x:c r="S9" s="21" t="str"/>
      <x:c r="T9" s="21" t="str"/>
    </x:row>
    <x:row r="10">
      <x:c r="A10" s="21" t="str">
        <x:v>POST-008</x:v>
      </x:c>
      <x:c r="B10" s="21" t="str">
        <x:v>Faceless AI Content Machine</x:v>
      </x:c>
      <x:c r="C10" s="21" t="str">
        <x:v>Instagram Reels</x:v>
      </x:c>
      <x:c r="D10" s="21" t="str">
        <x:v>Test Account 3</x:v>
      </x:c>
      <x:c r="E10" s="21" t="str">
        <x:v>2026-05-31</x:v>
      </x:c>
      <x:c r="F10" s="21" t="str">
        <x:v>13:00</x:v>
      </x:c>
      <x:c r="G10" s="21" t="str">
        <x:v>Draft</x:v>
      </x:c>
      <x:c r="H10" s="21" t="str">
        <x:v>HOOK-008</x:v>
      </x:c>
      <x:c r="I10" s="21" t="str">
        <x:v>SCRIPT-008</x:v>
      </x:c>
      <x:c r="J10" s="21" t="str">
        <x:v>Faceless Creator Coach</x:v>
      </x:c>
      <x:c r="K10" s="21" t="str">
        <x:v>Avatar short video</x:v>
      </x:c>
      <x:c r="L10" s="21" t="str">
        <x:v>Download checklist</x:v>
      </x:c>
      <x:c r="M10" s="21" t="str">
        <x:v>TBD landing page</x:v>
      </x:c>
      <x:c r="N10" s="21" t="str">
        <x:v>Needs Approval</x:v>
      </x:c>
      <x:c r="O10" s="21" t="str">
        <x:v>2026-06-01</x:v>
      </x:c>
      <x:c r="P10" s="21" t="str"/>
      <x:c r="Q10" s="21" t="str"/>
      <x:c r="R10" s="21" t="str"/>
      <x:c r="S10" s="21" t="str"/>
      <x:c r="T10" s="21" t="str"/>
    </x:row>
    <x:row r="11">
      <x:c r="A11" s="21" t="str">
        <x:v>POST-009</x:v>
      </x:c>
      <x:c r="B11" s="21" t="str">
        <x:v>Faceless AI Content Machine</x:v>
      </x:c>
      <x:c r="C11" s="21" t="str">
        <x:v>Facebook Reels</x:v>
      </x:c>
      <x:c r="D11" s="21" t="str">
        <x:v>Test Account 1</x:v>
      </x:c>
      <x:c r="E11" s="21" t="str">
        <x:v>2026-05-31</x:v>
      </x:c>
      <x:c r="F11" s="21" t="str">
        <x:v>19:00</x:v>
      </x:c>
      <x:c r="G11" s="21" t="str">
        <x:v>Draft</x:v>
      </x:c>
      <x:c r="H11" s="21" t="str">
        <x:v>HOOK-009</x:v>
      </x:c>
      <x:c r="I11" s="21" t="str">
        <x:v>SCRIPT-009</x:v>
      </x:c>
      <x:c r="J11" s="21" t="str">
        <x:v>AI Founder Avatar</x:v>
      </x:c>
      <x:c r="K11" s="21" t="str">
        <x:v>Avatar short video</x:v>
      </x:c>
      <x:c r="L11" s="21" t="str">
        <x:v>Download checklist</x:v>
      </x:c>
      <x:c r="M11" s="21" t="str">
        <x:v>TBD landing page</x:v>
      </x:c>
      <x:c r="N11" s="21" t="str">
        <x:v>Needs Approval</x:v>
      </x:c>
      <x:c r="O11" s="21" t="str">
        <x:v>2026-06-01</x:v>
      </x:c>
      <x:c r="P11" s="21" t="str"/>
      <x:c r="Q11" s="21" t="str"/>
      <x:c r="R11" s="21" t="str"/>
      <x:c r="S11" s="21" t="str"/>
      <x:c r="T11" s="21" t="str"/>
    </x:row>
    <x:row r="12">
      <x:c r="A12" s="21" t="str">
        <x:v>POST-010</x:v>
      </x:c>
      <x:c r="B12" s="21" t="str">
        <x:v>Faceless AI Content Machine</x:v>
      </x:c>
      <x:c r="C12" s="21" t="str">
        <x:v>TikTok</x:v>
      </x:c>
      <x:c r="D12" s="21" t="str">
        <x:v>Test Account 2</x:v>
      </x:c>
      <x:c r="E12" s="21" t="str">
        <x:v>2026-06-01</x:v>
      </x:c>
      <x:c r="F12" s="21" t="str">
        <x:v>09:00</x:v>
      </x:c>
      <x:c r="G12" s="21" t="str">
        <x:v>Draft</x:v>
      </x:c>
      <x:c r="H12" s="21" t="str">
        <x:v>HOOK-010</x:v>
      </x:c>
      <x:c r="I12" s="21" t="str">
        <x:v>SCRIPT-010</x:v>
      </x:c>
      <x:c r="J12" s="21" t="str">
        <x:v>Faceless Creator Coach</x:v>
      </x:c>
      <x:c r="K12" s="21" t="str">
        <x:v>Avatar short video</x:v>
      </x:c>
      <x:c r="L12" s="21" t="str">
        <x:v>Download checklist</x:v>
      </x:c>
      <x:c r="M12" s="21" t="str">
        <x:v>TBD landing page</x:v>
      </x:c>
      <x:c r="N12" s="21" t="str">
        <x:v>Needs Approval</x:v>
      </x:c>
      <x:c r="O12" s="21" t="str">
        <x:v>2026-06-02</x:v>
      </x:c>
      <x:c r="P12" s="21" t="str"/>
      <x:c r="Q12" s="21" t="str"/>
      <x:c r="R12" s="21" t="str"/>
      <x:c r="S12" s="21" t="str"/>
      <x:c r="T12" s="21" t="str"/>
    </x:row>
    <x:row r="13">
      <x:c r="A13" s="21" t="str">
        <x:v>POST-011</x:v>
      </x:c>
      <x:c r="B13" s="21" t="str">
        <x:v>Faceless AI Content Machine</x:v>
      </x:c>
      <x:c r="C13" s="21" t="str">
        <x:v>YouTube Shorts</x:v>
      </x:c>
      <x:c r="D13" s="21" t="str">
        <x:v>Test Account 3</x:v>
      </x:c>
      <x:c r="E13" s="21" t="str">
        <x:v>2026-06-01</x:v>
      </x:c>
      <x:c r="F13" s="21" t="str">
        <x:v>13:00</x:v>
      </x:c>
      <x:c r="G13" s="21" t="str">
        <x:v>Draft</x:v>
      </x:c>
      <x:c r="H13" s="21" t="str">
        <x:v>HOOK-011</x:v>
      </x:c>
      <x:c r="I13" s="21" t="str">
        <x:v>SCRIPT-011</x:v>
      </x:c>
      <x:c r="J13" s="21" t="str">
        <x:v>AI Founder Avatar</x:v>
      </x:c>
      <x:c r="K13" s="21" t="str">
        <x:v>Avatar short video</x:v>
      </x:c>
      <x:c r="L13" s="21" t="str">
        <x:v>Download checklist</x:v>
      </x:c>
      <x:c r="M13" s="21" t="str">
        <x:v>TBD landing page</x:v>
      </x:c>
      <x:c r="N13" s="21" t="str">
        <x:v>Needs Approval</x:v>
      </x:c>
      <x:c r="O13" s="21" t="str">
        <x:v>2026-06-02</x:v>
      </x:c>
      <x:c r="P13" s="21" t="str"/>
      <x:c r="Q13" s="21" t="str"/>
      <x:c r="R13" s="21" t="str"/>
      <x:c r="S13" s="21" t="str"/>
      <x:c r="T13" s="21" t="str"/>
    </x:row>
    <x:row r="14">
      <x:c r="A14" s="21" t="str">
        <x:v>POST-012</x:v>
      </x:c>
      <x:c r="B14" s="21" t="str">
        <x:v>Faceless AI Content Machine</x:v>
      </x:c>
      <x:c r="C14" s="21" t="str">
        <x:v>Instagram Reels</x:v>
      </x:c>
      <x:c r="D14" s="21" t="str">
        <x:v>Test Account 1</x:v>
      </x:c>
      <x:c r="E14" s="21" t="str">
        <x:v>2026-06-01</x:v>
      </x:c>
      <x:c r="F14" s="21" t="str">
        <x:v>19:00</x:v>
      </x:c>
      <x:c r="G14" s="21" t="str">
        <x:v>Draft</x:v>
      </x:c>
      <x:c r="H14" s="21" t="str">
        <x:v>HOOK-012</x:v>
      </x:c>
      <x:c r="I14" s="21" t="str">
        <x:v>SCRIPT-012</x:v>
      </x:c>
      <x:c r="J14" s="21" t="str">
        <x:v>Faceless Creator Coach</x:v>
      </x:c>
      <x:c r="K14" s="21" t="str">
        <x:v>Avatar short video</x:v>
      </x:c>
      <x:c r="L14" s="21" t="str">
        <x:v>Download checklist</x:v>
      </x:c>
      <x:c r="M14" s="21" t="str">
        <x:v>TBD landing page</x:v>
      </x:c>
      <x:c r="N14" s="21" t="str">
        <x:v>Needs Approval</x:v>
      </x:c>
      <x:c r="O14" s="21" t="str">
        <x:v>2026-06-02</x:v>
      </x:c>
      <x:c r="P14" s="21" t="str"/>
      <x:c r="Q14" s="21" t="str"/>
      <x:c r="R14" s="21" t="str"/>
      <x:c r="S14" s="21" t="str"/>
      <x:c r="T14" s="21" t="str"/>
    </x:row>
    <x:row r="15">
      <x:c r="A15" s="21" t="str">
        <x:v>POST-013</x:v>
      </x:c>
      <x:c r="B15" s="21" t="str">
        <x:v>Faceless AI Content Machine</x:v>
      </x:c>
      <x:c r="C15" s="21" t="str">
        <x:v>Facebook Reels</x:v>
      </x:c>
      <x:c r="D15" s="21" t="str">
        <x:v>Test Account 2</x:v>
      </x:c>
      <x:c r="E15" s="21" t="str">
        <x:v>2026-06-02</x:v>
      </x:c>
      <x:c r="F15" s="21" t="str">
        <x:v>09:00</x:v>
      </x:c>
      <x:c r="G15" s="21" t="str">
        <x:v>Draft</x:v>
      </x:c>
      <x:c r="H15" s="21" t="str">
        <x:v>HOOK-013</x:v>
      </x:c>
      <x:c r="I15" s="21" t="str">
        <x:v>SCRIPT-013</x:v>
      </x:c>
      <x:c r="J15" s="21" t="str">
        <x:v>AI Founder Avatar</x:v>
      </x:c>
      <x:c r="K15" s="21" t="str">
        <x:v>Avatar short video</x:v>
      </x:c>
      <x:c r="L15" s="21" t="str">
        <x:v>Download checklist</x:v>
      </x:c>
      <x:c r="M15" s="21" t="str">
        <x:v>TBD landing page</x:v>
      </x:c>
      <x:c r="N15" s="21" t="str">
        <x:v>Needs Approval</x:v>
      </x:c>
      <x:c r="O15" s="21" t="str">
        <x:v>2026-06-03</x:v>
      </x:c>
      <x:c r="P15" s="21" t="str"/>
      <x:c r="Q15" s="21" t="str"/>
      <x:c r="R15" s="21" t="str"/>
      <x:c r="S15" s="21" t="str"/>
      <x:c r="T15" s="21" t="str"/>
    </x:row>
    <x:row r="16">
      <x:c r="A16" s="21" t="str">
        <x:v>POST-014</x:v>
      </x:c>
      <x:c r="B16" s="21" t="str">
        <x:v>Faceless AI Content Machine</x:v>
      </x:c>
      <x:c r="C16" s="21" t="str">
        <x:v>TikTok</x:v>
      </x:c>
      <x:c r="D16" s="21" t="str">
        <x:v>Test Account 3</x:v>
      </x:c>
      <x:c r="E16" s="21" t="str">
        <x:v>2026-06-02</x:v>
      </x:c>
      <x:c r="F16" s="21" t="str">
        <x:v>13:00</x:v>
      </x:c>
      <x:c r="G16" s="21" t="str">
        <x:v>Draft</x:v>
      </x:c>
      <x:c r="H16" s="21" t="str">
        <x:v>HOOK-014</x:v>
      </x:c>
      <x:c r="I16" s="21" t="str">
        <x:v>SCRIPT-014</x:v>
      </x:c>
      <x:c r="J16" s="21" t="str">
        <x:v>Faceless Creator Coach</x:v>
      </x:c>
      <x:c r="K16" s="21" t="str">
        <x:v>Avatar short video</x:v>
      </x:c>
      <x:c r="L16" s="21" t="str">
        <x:v>Download checklist</x:v>
      </x:c>
      <x:c r="M16" s="21" t="str">
        <x:v>TBD landing page</x:v>
      </x:c>
      <x:c r="N16" s="21" t="str">
        <x:v>Needs Approval</x:v>
      </x:c>
      <x:c r="O16" s="21" t="str">
        <x:v>2026-06-03</x:v>
      </x:c>
      <x:c r="P16" s="21" t="str"/>
      <x:c r="Q16" s="21" t="str"/>
      <x:c r="R16" s="21" t="str"/>
      <x:c r="S16" s="21" t="str"/>
      <x:c r="T16" s="21" t="str"/>
    </x:row>
    <x:row r="17">
      <x:c r="A17" s="21" t="str">
        <x:v>POST-015</x:v>
      </x:c>
      <x:c r="B17" s="21" t="str">
        <x:v>Faceless AI Content Machine</x:v>
      </x:c>
      <x:c r="C17" s="21" t="str">
        <x:v>YouTube Shorts</x:v>
      </x:c>
      <x:c r="D17" s="21" t="str">
        <x:v>Test Account 1</x:v>
      </x:c>
      <x:c r="E17" s="21" t="str">
        <x:v>2026-06-02</x:v>
      </x:c>
      <x:c r="F17" s="21" t="str">
        <x:v>19:00</x:v>
      </x:c>
      <x:c r="G17" s="21" t="str">
        <x:v>Draft</x:v>
      </x:c>
      <x:c r="H17" s="21" t="str">
        <x:v>HOOK-015</x:v>
      </x:c>
      <x:c r="I17" s="21" t="str">
        <x:v>SCRIPT-015</x:v>
      </x:c>
      <x:c r="J17" s="21" t="str">
        <x:v>AI Founder Avatar</x:v>
      </x:c>
      <x:c r="K17" s="21" t="str">
        <x:v>Avatar short video</x:v>
      </x:c>
      <x:c r="L17" s="21" t="str">
        <x:v>Download checklist</x:v>
      </x:c>
      <x:c r="M17" s="21" t="str">
        <x:v>TBD landing page</x:v>
      </x:c>
      <x:c r="N17" s="21" t="str">
        <x:v>Needs Approval</x:v>
      </x:c>
      <x:c r="O17" s="21" t="str">
        <x:v>2026-06-03</x:v>
      </x:c>
      <x:c r="P17" s="21" t="str"/>
      <x:c r="Q17" s="21" t="str"/>
      <x:c r="R17" s="21" t="str"/>
      <x:c r="S17" s="21" t="str"/>
      <x:c r="T17" s="21" t="str"/>
    </x:row>
    <x:row r="18">
      <x:c r="A18" s="21" t="str">
        <x:v>POST-016</x:v>
      </x:c>
      <x:c r="B18" s="21" t="str">
        <x:v>Faceless AI Content Machine</x:v>
      </x:c>
      <x:c r="C18" s="21" t="str">
        <x:v>Instagram Reels</x:v>
      </x:c>
      <x:c r="D18" s="21" t="str">
        <x:v>Test Account 2</x:v>
      </x:c>
      <x:c r="E18" s="21" t="str">
        <x:v>2026-06-03</x:v>
      </x:c>
      <x:c r="F18" s="21" t="str">
        <x:v>09:00</x:v>
      </x:c>
      <x:c r="G18" s="21" t="str">
        <x:v>Draft</x:v>
      </x:c>
      <x:c r="H18" s="21" t="str">
        <x:v>HOOK-016</x:v>
      </x:c>
      <x:c r="I18" s="21" t="str">
        <x:v>SCRIPT-016</x:v>
      </x:c>
      <x:c r="J18" s="21" t="str">
        <x:v>Faceless Creator Coach</x:v>
      </x:c>
      <x:c r="K18" s="21" t="str">
        <x:v>Avatar short video</x:v>
      </x:c>
      <x:c r="L18" s="21" t="str">
        <x:v>Download checklist</x:v>
      </x:c>
      <x:c r="M18" s="21" t="str">
        <x:v>TBD landing page</x:v>
      </x:c>
      <x:c r="N18" s="21" t="str">
        <x:v>Needs Approval</x:v>
      </x:c>
      <x:c r="O18" s="21" t="str">
        <x:v>2026-06-04</x:v>
      </x:c>
      <x:c r="P18" s="21" t="str"/>
      <x:c r="Q18" s="21" t="str"/>
      <x:c r="R18" s="21" t="str"/>
      <x:c r="S18" s="21" t="str"/>
      <x:c r="T18" s="21" t="str"/>
    </x:row>
    <x:row r="19">
      <x:c r="A19" s="21" t="str">
        <x:v>POST-017</x:v>
      </x:c>
      <x:c r="B19" s="21" t="str">
        <x:v>Faceless AI Content Machine</x:v>
      </x:c>
      <x:c r="C19" s="21" t="str">
        <x:v>Facebook Reels</x:v>
      </x:c>
      <x:c r="D19" s="21" t="str">
        <x:v>Test Account 3</x:v>
      </x:c>
      <x:c r="E19" s="21" t="str">
        <x:v>2026-06-03</x:v>
      </x:c>
      <x:c r="F19" s="21" t="str">
        <x:v>13:00</x:v>
      </x:c>
      <x:c r="G19" s="21" t="str">
        <x:v>Draft</x:v>
      </x:c>
      <x:c r="H19" s="21" t="str">
        <x:v>HOOK-017</x:v>
      </x:c>
      <x:c r="I19" s="21" t="str">
        <x:v>SCRIPT-017</x:v>
      </x:c>
      <x:c r="J19" s="21" t="str">
        <x:v>AI Founder Avatar</x:v>
      </x:c>
      <x:c r="K19" s="21" t="str">
        <x:v>Avatar short video</x:v>
      </x:c>
      <x:c r="L19" s="21" t="str">
        <x:v>Download checklist</x:v>
      </x:c>
      <x:c r="M19" s="21" t="str">
        <x:v>TBD landing page</x:v>
      </x:c>
      <x:c r="N19" s="21" t="str">
        <x:v>Needs Approval</x:v>
      </x:c>
      <x:c r="O19" s="21" t="str">
        <x:v>2026-06-04</x:v>
      </x:c>
      <x:c r="P19" s="21" t="str"/>
      <x:c r="Q19" s="21" t="str"/>
      <x:c r="R19" s="21" t="str"/>
      <x:c r="S19" s="21" t="str"/>
      <x:c r="T19" s="21" t="str"/>
    </x:row>
    <x:row r="20">
      <x:c r="A20" s="21" t="str">
        <x:v>POST-018</x:v>
      </x:c>
      <x:c r="B20" s="21" t="str">
        <x:v>Faceless AI Content Machine</x:v>
      </x:c>
      <x:c r="C20" s="21" t="str">
        <x:v>TikTok</x:v>
      </x:c>
      <x:c r="D20" s="21" t="str">
        <x:v>Test Account 1</x:v>
      </x:c>
      <x:c r="E20" s="21" t="str">
        <x:v>2026-06-03</x:v>
      </x:c>
      <x:c r="F20" s="21" t="str">
        <x:v>19:00</x:v>
      </x:c>
      <x:c r="G20" s="21" t="str">
        <x:v>Draft</x:v>
      </x:c>
      <x:c r="H20" s="21" t="str">
        <x:v>HOOK-018</x:v>
      </x:c>
      <x:c r="I20" s="21" t="str">
        <x:v>SCRIPT-018</x:v>
      </x:c>
      <x:c r="J20" s="21" t="str">
        <x:v>Faceless Creator Coach</x:v>
      </x:c>
      <x:c r="K20" s="21" t="str">
        <x:v>Avatar short video</x:v>
      </x:c>
      <x:c r="L20" s="21" t="str">
        <x:v>Download checklist</x:v>
      </x:c>
      <x:c r="M20" s="21" t="str">
        <x:v>TBD landing page</x:v>
      </x:c>
      <x:c r="N20" s="21" t="str">
        <x:v>Needs Approval</x:v>
      </x:c>
      <x:c r="O20" s="21" t="str">
        <x:v>2026-06-04</x:v>
      </x:c>
      <x:c r="P20" s="21" t="str"/>
      <x:c r="Q20" s="21" t="str"/>
      <x:c r="R20" s="21" t="str"/>
      <x:c r="S20" s="21" t="str"/>
      <x:c r="T20" s="21" t="str"/>
    </x:row>
    <x:row r="21">
      <x:c r="A21" s="21" t="str">
        <x:v>POST-019</x:v>
      </x:c>
      <x:c r="B21" s="21" t="str">
        <x:v>Faceless AI Content Machine</x:v>
      </x:c>
      <x:c r="C21" s="21" t="str">
        <x:v>YouTube Shorts</x:v>
      </x:c>
      <x:c r="D21" s="21" t="str">
        <x:v>Test Account 2</x:v>
      </x:c>
      <x:c r="E21" s="21" t="str">
        <x:v>2026-06-04</x:v>
      </x:c>
      <x:c r="F21" s="21" t="str">
        <x:v>09:00</x:v>
      </x:c>
      <x:c r="G21" s="21" t="str">
        <x:v>Draft</x:v>
      </x:c>
      <x:c r="H21" s="21" t="str">
        <x:v>HOOK-019</x:v>
      </x:c>
      <x:c r="I21" s="21" t="str">
        <x:v>SCRIPT-019</x:v>
      </x:c>
      <x:c r="J21" s="21" t="str">
        <x:v>AI Founder Avatar</x:v>
      </x:c>
      <x:c r="K21" s="21" t="str">
        <x:v>Avatar short video</x:v>
      </x:c>
      <x:c r="L21" s="21" t="str">
        <x:v>Download checklist</x:v>
      </x:c>
      <x:c r="M21" s="21" t="str">
        <x:v>TBD landing page</x:v>
      </x:c>
      <x:c r="N21" s="21" t="str">
        <x:v>Needs Approval</x:v>
      </x:c>
      <x:c r="O21" s="21" t="str">
        <x:v>2026-06-05</x:v>
      </x:c>
      <x:c r="P21" s="21" t="str"/>
      <x:c r="Q21" s="21" t="str"/>
      <x:c r="R21" s="21" t="str"/>
      <x:c r="S21" s="21" t="str"/>
      <x:c r="T21" s="21" t="str"/>
    </x:row>
    <x:row r="22">
      <x:c r="A22" s="21" t="str">
        <x:v>POST-020</x:v>
      </x:c>
      <x:c r="B22" s="21" t="str">
        <x:v>Faceless AI Content Machine</x:v>
      </x:c>
      <x:c r="C22" s="21" t="str">
        <x:v>Instagram Reels</x:v>
      </x:c>
      <x:c r="D22" s="21" t="str">
        <x:v>Test Account 3</x:v>
      </x:c>
      <x:c r="E22" s="21" t="str">
        <x:v>2026-06-04</x:v>
      </x:c>
      <x:c r="F22" s="21" t="str">
        <x:v>13:00</x:v>
      </x:c>
      <x:c r="G22" s="21" t="str">
        <x:v>Draft</x:v>
      </x:c>
      <x:c r="H22" s="21" t="str">
        <x:v>HOOK-020</x:v>
      </x:c>
      <x:c r="I22" s="21" t="str">
        <x:v>SCRIPT-020</x:v>
      </x:c>
      <x:c r="J22" s="21" t="str">
        <x:v>Faceless Creator Coach</x:v>
      </x:c>
      <x:c r="K22" s="21" t="str">
        <x:v>Avatar short video</x:v>
      </x:c>
      <x:c r="L22" s="21" t="str">
        <x:v>Download checklist</x:v>
      </x:c>
      <x:c r="M22" s="21" t="str">
        <x:v>TBD landing page</x:v>
      </x:c>
      <x:c r="N22" s="21" t="str">
        <x:v>Needs Approval</x:v>
      </x:c>
      <x:c r="O22" s="21" t="str">
        <x:v>2026-06-05</x:v>
      </x:c>
      <x:c r="P22" s="21" t="str"/>
      <x:c r="Q22" s="21" t="str"/>
      <x:c r="R22" s="21" t="str"/>
      <x:c r="S22" s="21" t="str"/>
      <x:c r="T22" s="21" t="str"/>
    </x:row>
    <x:row r="23">
      <x:c r="A23" s="21" t="str">
        <x:v>POST-021</x:v>
      </x:c>
      <x:c r="B23" s="21" t="str">
        <x:v>Faceless AI Content Machine</x:v>
      </x:c>
      <x:c r="C23" s="21" t="str">
        <x:v>Facebook Reels</x:v>
      </x:c>
      <x:c r="D23" s="21" t="str">
        <x:v>Test Account 1</x:v>
      </x:c>
      <x:c r="E23" s="21" t="str">
        <x:v>2026-06-04</x:v>
      </x:c>
      <x:c r="F23" s="21" t="str">
        <x:v>19:00</x:v>
      </x:c>
      <x:c r="G23" s="21" t="str">
        <x:v>Draft</x:v>
      </x:c>
      <x:c r="H23" s="21" t="str">
        <x:v>HOOK-021</x:v>
      </x:c>
      <x:c r="I23" s="21" t="str">
        <x:v>SCRIPT-021</x:v>
      </x:c>
      <x:c r="J23" s="21" t="str">
        <x:v>AI Founder Avatar</x:v>
      </x:c>
      <x:c r="K23" s="21" t="str">
        <x:v>Avatar short video</x:v>
      </x:c>
      <x:c r="L23" s="21" t="str">
        <x:v>Download checklist</x:v>
      </x:c>
      <x:c r="M23" s="21" t="str">
        <x:v>TBD landing page</x:v>
      </x:c>
      <x:c r="N23" s="21" t="str">
        <x:v>Needs Approval</x:v>
      </x:c>
      <x:c r="O23" s="21" t="str">
        <x:v>2026-06-05</x:v>
      </x:c>
      <x:c r="P23" s="21" t="str"/>
      <x:c r="Q23" s="21" t="str"/>
      <x:c r="R23" s="21" t="str"/>
      <x:c r="S23" s="21" t="str"/>
      <x:c r="T23" s="21" t="str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</x:row>
  </x:sheetData>
  <x:mergeCells>
    <x:mergeCell ref="A1:T1"/>
  </x:mergeCells>
  <x:conditionalFormatting sqref="G3:G300">
    <x:cfRule type="expression" dxfId="3" priority="1">
      <x:formula>G3="Needs Approval"</x:formula>
    </x:cfRule>
    <x:cfRule type="expression" dxfId="4" priority="2">
      <x:formula>G3="Posted"</x:formula>
    </x:cfRule>
  </x:conditionalFormatting>
  <x:dataValidations count="2">
    <x:dataValidation type="list" sqref="G3:G300">
      <x:formula1>"Draft,Needs Approval,Approved,Scheduled,Posted,Killed,Replicate"</x:formula1>
    </x:dataValidation>
    <x:dataValidation type="list" sqref="N3:N300">
      <x:formula1>"Needs Approval,Approved,Rejected"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fdd78b30f047d2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12" hidden="0" customWidth="1"/>
    <x:col min="11" max="11" width="18" hidden="0" customWidth="1"/>
    <x:col min="12" max="12" width="18" hidden="0" customWidth="1"/>
    <x:col min="13" max="13" width="34" hidden="0" customWidth="1"/>
  </x:cols>
  <x:sheetData>
    <x:row r="1" ht="26" customHeight="1">
      <x:c r="A1" s="48" t="str">
        <x:v>Governance Approval Queue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</x:row>
    <x:row r="2" ht="30" customHeight="1">
      <x:c r="A2" s="47" t="str">
        <x:v>Approval ID</x:v>
      </x:c>
      <x:c r="B2" s="47" t="str">
        <x:v>Requested</x:v>
      </x:c>
      <x:c r="C2" s="47" t="str">
        <x:v>Requested By</x:v>
      </x:c>
      <x:c r="D2" s="47" t="str">
        <x:v>Action Type</x:v>
      </x:c>
      <x:c r="E2" s="47" t="str">
        <x:v>Object</x:v>
      </x:c>
      <x:c r="F2" s="47" t="str">
        <x:v>Risk Level</x:v>
      </x:c>
      <x:c r="G2" s="47" t="str">
        <x:v>Revenue Impact</x:v>
      </x:c>
      <x:c r="H2" s="47" t="str">
        <x:v>Cost Impact</x:v>
      </x:c>
      <x:c r="I2" s="47" t="str">
        <x:v>Approval Requirement</x:v>
      </x:c>
      <x:c r="J2" s="47" t="str">
        <x:v>Status</x:v>
      </x:c>
      <x:c r="K2" s="47" t="str">
        <x:v>Decision By</x:v>
      </x:c>
      <x:c r="L2" s="47" t="str">
        <x:v>Decision Date</x:v>
      </x:c>
      <x:c r="M2" s="47" t="str">
        <x:v>Notes</x:v>
      </x:c>
    </x:row>
    <x:row r="3">
      <x:c r="A3" s="21" t="str">
        <x:v>APP-001</x:v>
      </x:c>
      <x:c r="B3" s="21" t="str">
        <x:v>2026-05-28 00:07</x:v>
      </x:c>
      <x:c r="C3" s="21" t="str">
        <x:v>Avatar Worker</x:v>
      </x:c>
      <x:c r="D3" s="21" t="str">
        <x:v>HeyGen render</x:v>
      </x:c>
      <x:c r="E3" s="21" t="str">
        <x:v>First 3 avatar videos</x:v>
      </x:c>
      <x:c r="F3" s="21" t="str">
        <x:v>Medium</x:v>
      </x:c>
      <x:c r="G3" s="21" t="str">
        <x:v>High</x:v>
      </x:c>
      <x:c r="H3" s="21" t="str">
        <x:v>$25</x:v>
      </x:c>
      <x:c r="I3" s="21" t="str">
        <x:v>Approve before paid render</x:v>
      </x:c>
      <x:c r="J3" s="21" t="str">
        <x:v>Pending</x:v>
      </x:c>
      <x:c r="K3" s="21" t="str"/>
      <x:c r="L3" s="21" t="str"/>
      <x:c r="M3" s="21" t="str"/>
    </x:row>
    <x:row r="4">
      <x:c r="A4" s="21" t="str">
        <x:v>APP-002</x:v>
      </x:c>
      <x:c r="B4" s="21" t="str">
        <x:v>2026-05-28 00:07</x:v>
      </x:c>
      <x:c r="C4" s="21" t="str">
        <x:v>Funnel Worker</x:v>
      </x:c>
      <x:c r="D4" s="21" t="str">
        <x:v>Stripe/Shopify draft activation</x:v>
      </x:c>
      <x:c r="E4" s="21" t="str">
        <x:v>Faceless AI Content Machine checkout</x:v>
      </x:c>
      <x:c r="F4" s="21" t="str">
        <x:v>High</x:v>
      </x:c>
      <x:c r="G4" s="21" t="str">
        <x:v>High</x:v>
      </x:c>
      <x:c r="H4" s="21" t="str">
        <x:v>$0</x:v>
      </x:c>
      <x:c r="I4" s="21" t="str">
        <x:v>Approve before live checkout/product creation</x:v>
      </x:c>
      <x:c r="J4" s="21" t="str">
        <x:v>Pending</x:v>
      </x:c>
      <x:c r="K4" s="21" t="str"/>
      <x:c r="L4" s="21" t="str"/>
      <x:c r="M4" s="21" t="str"/>
    </x:row>
    <x:row r="5">
      <x:c r="A5" s="21" t="str">
        <x:v>APP-003</x:v>
      </x:c>
      <x:c r="B5" s="21" t="str">
        <x:v>2026-05-28 00:07</x:v>
      </x:c>
      <x:c r="C5" s="21" t="str">
        <x:v>Xyla Scheduler</x:v>
      </x:c>
      <x:c r="D5" s="21" t="str">
        <x:v>Publish first 10 posts</x:v>
      </x:c>
      <x:c r="E5" s="21" t="str">
        <x:v>Content Schedule batch 1</x:v>
      </x:c>
      <x:c r="F5" s="21" t="str">
        <x:v>Medium</x:v>
      </x:c>
      <x:c r="G5" s="21" t="str">
        <x:v>High</x:v>
      </x:c>
      <x:c r="H5" s="21" t="str">
        <x:v>$0</x:v>
      </x:c>
      <x:c r="I5" s="21" t="str">
        <x:v>Approve before live publishing</x:v>
      </x:c>
      <x:c r="J5" s="21" t="str">
        <x:v>Pending</x:v>
      </x:c>
      <x:c r="K5" s="21" t="str"/>
      <x:c r="L5" s="21" t="str"/>
      <x:c r="M5" s="21" t="str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</x:row>
  </x:sheetData>
  <x:mergeCells>
    <x:mergeCell ref="A1:M1"/>
  </x:mergeCells>
  <x:conditionalFormatting sqref="J3:J200">
    <x:cfRule type="expression" dxfId="5" priority="1">
      <x:formula>J3="Pending"</x:formula>
    </x:cfRule>
    <x:cfRule type="expression" dxfId="6" priority="2">
      <x:formula>J3="Approved"</x:formula>
    </x:cfRule>
    <x:cfRule type="expression" dxfId="7" priority="3">
      <x:formula>J3="Rejected"</x:formula>
    </x:cfRule>
  </x:conditionalFormatting>
  <x:dataValidations count="2">
    <x:dataValidation type="list" sqref="J3:J200">
      <x:formula1>"Pending,Approved,Rejected,Needs More Info"</x:formula1>
    </x:dataValidation>
    <x:dataValidation type="list" sqref="F3:F2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b94154853d401e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2" hidden="0" customWidth="1"/>
    <x:col min="12" max="12" width="18" hidden="0" customWidth="1"/>
    <x:col min="13" max="13" width="34" hidden="0" customWidth="1"/>
  </x:cols>
  <x:sheetData>
    <x:row r="1" ht="26" customHeight="1">
      <x:c r="A1" s="48" t="str">
        <x:v>Vercel Cron Run Log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</x:row>
    <x:row r="2" ht="30" customHeight="1">
      <x:c r="A2" s="47" t="str">
        <x:v>Run ID</x:v>
      </x:c>
      <x:c r="B2" s="47" t="str">
        <x:v>Timestamp</x:v>
      </x:c>
      <x:c r="C2" s="47" t="str">
        <x:v>Trigger</x:v>
      </x:c>
      <x:c r="D2" s="47" t="str">
        <x:v>Mode</x:v>
      </x:c>
      <x:c r="E2" s="47" t="str">
        <x:v>Tasks Scanned</x:v>
      </x:c>
      <x:c r="F2" s="47" t="str">
        <x:v>Tasks Created</x:v>
      </x:c>
      <x:c r="G2" s="47" t="str">
        <x:v>Tasks Completed</x:v>
      </x:c>
      <x:c r="H2" s="47" t="str">
        <x:v>Tasks Blocked</x:v>
      </x:c>
      <x:c r="I2" s="47" t="str">
        <x:v>Approvals Pending</x:v>
      </x:c>
      <x:c r="J2" s="47" t="str">
        <x:v>Cost Used</x:v>
      </x:c>
      <x:c r="K2" s="47" t="str">
        <x:v>Status</x:v>
      </x:c>
      <x:c r="L2" s="47" t="str">
        <x:v>Next Run</x:v>
      </x:c>
      <x:c r="M2" s="47" t="str">
        <x:v>Notes</x:v>
      </x:c>
    </x:row>
    <x:row r="3">
      <x:c r="A3" s="21" t="str">
        <x:v>RUN-001</x:v>
      </x:c>
      <x:c r="B3" s="21" t="str">
        <x:v>2026-05-28 00:12</x:v>
      </x:c>
      <x:c r="C3" s="21" t="str">
        <x:v>Vercel Cron</x:v>
      </x:c>
      <x:c r="D3" s="21" t="str">
        <x:v>Safe Loop</x:v>
      </x:c>
      <x:c r="E3" s="21" t="str"/>
      <x:c r="F3" s="21" t="str"/>
      <x:c r="G3" s="21" t="str"/>
      <x:c r="H3" s="21" t="str"/>
      <x:c r="I3" s="21" t="str"/>
      <x:c r="J3" s="21" t="str"/>
      <x:c r="K3" s="21" t="str">
        <x:v>Scheduled</x:v>
      </x:c>
      <x:c r="L3" s="21" t="str">
        <x:v>2026-05-28 00:17</x:v>
      </x:c>
      <x:c r="M3" s="21" t="str"/>
    </x:row>
    <x:row r="4">
      <x:c r="A4" s="21" t="str">
        <x:v>RUN-002</x:v>
      </x:c>
      <x:c r="B4" s="21" t="str">
        <x:v>2026-05-28 00:17</x:v>
      </x:c>
      <x:c r="C4" s="21" t="str">
        <x:v>Vercel Cron</x:v>
      </x:c>
      <x:c r="D4" s="21" t="str">
        <x:v>Safe Loop</x:v>
      </x:c>
      <x:c r="E4" s="21" t="str"/>
      <x:c r="F4" s="21" t="str"/>
      <x:c r="G4" s="21" t="str"/>
      <x:c r="H4" s="21" t="str"/>
      <x:c r="I4" s="21" t="str"/>
      <x:c r="J4" s="21" t="str"/>
      <x:c r="K4" s="21" t="str">
        <x:v>Scheduled</x:v>
      </x:c>
      <x:c r="L4" s="21" t="str">
        <x:v>2026-05-28 00:22</x:v>
      </x:c>
      <x:c r="M4" s="21" t="str"/>
    </x:row>
    <x:row r="5">
      <x:c r="A5" s="21" t="str">
        <x:v>RUN-003</x:v>
      </x:c>
      <x:c r="B5" s="21" t="str">
        <x:v>2026-05-28 00:22</x:v>
      </x:c>
      <x:c r="C5" s="21" t="str">
        <x:v>Vercel Cron</x:v>
      </x:c>
      <x:c r="D5" s="21" t="str">
        <x:v>Safe Loop</x:v>
      </x:c>
      <x:c r="E5" s="21" t="str"/>
      <x:c r="F5" s="21" t="str"/>
      <x:c r="G5" s="21" t="str"/>
      <x:c r="H5" s="21" t="str"/>
      <x:c r="I5" s="21" t="str"/>
      <x:c r="J5" s="21" t="str"/>
      <x:c r="K5" s="21" t="str">
        <x:v>Scheduled</x:v>
      </x:c>
      <x:c r="L5" s="21" t="str">
        <x:v>2026-05-28 00:27</x:v>
      </x:c>
      <x:c r="M5" s="21" t="str"/>
    </x:row>
    <x:row r="6">
      <x:c r="A6" s="21" t="str">
        <x:v>RUN-004</x:v>
      </x:c>
      <x:c r="B6" s="21" t="str">
        <x:v>2026-05-28 00:27</x:v>
      </x:c>
      <x:c r="C6" s="21" t="str">
        <x:v>Vercel Cron</x:v>
      </x:c>
      <x:c r="D6" s="21" t="str">
        <x:v>Safe Loop</x:v>
      </x:c>
      <x:c r="E6" s="21" t="str"/>
      <x:c r="F6" s="21" t="str"/>
      <x:c r="G6" s="21" t="str"/>
      <x:c r="H6" s="21" t="str"/>
      <x:c r="I6" s="21" t="str"/>
      <x:c r="J6" s="21" t="str"/>
      <x:c r="K6" s="21" t="str">
        <x:v>Scheduled</x:v>
      </x:c>
      <x:c r="L6" s="21" t="str">
        <x:v>2026-05-28 00:32</x:v>
      </x:c>
      <x:c r="M6" s="21" t="str"/>
    </x:row>
    <x:row r="7">
      <x:c r="A7" s="21" t="str">
        <x:v>RUN-005</x:v>
      </x:c>
      <x:c r="B7" s="21" t="str">
        <x:v>2026-05-28 00:32</x:v>
      </x:c>
      <x:c r="C7" s="21" t="str">
        <x:v>Vercel Cron</x:v>
      </x:c>
      <x:c r="D7" s="21" t="str">
        <x:v>Safe Loop</x:v>
      </x:c>
      <x:c r="E7" s="21" t="str"/>
      <x:c r="F7" s="21" t="str"/>
      <x:c r="G7" s="21" t="str"/>
      <x:c r="H7" s="21" t="str"/>
      <x:c r="I7" s="21" t="str"/>
      <x:c r="J7" s="21" t="str"/>
      <x:c r="K7" s="21" t="str">
        <x:v>Scheduled</x:v>
      </x:c>
      <x:c r="L7" s="21" t="str">
        <x:v>2026-05-28 00:37</x:v>
      </x:c>
      <x:c r="M7" s="21" t="str"/>
    </x:row>
    <x:row r="8">
      <x:c r="A8" s="21" t="str">
        <x:v>RUN-006</x:v>
      </x:c>
      <x:c r="B8" s="21" t="str">
        <x:v>2026-05-28 00:37</x:v>
      </x:c>
      <x:c r="C8" s="21" t="str">
        <x:v>Vercel Cron</x:v>
      </x:c>
      <x:c r="D8" s="21" t="str">
        <x:v>Safe Loop</x:v>
      </x:c>
      <x:c r="E8" s="21" t="str"/>
      <x:c r="F8" s="21" t="str"/>
      <x:c r="G8" s="21" t="str"/>
      <x:c r="H8" s="21" t="str"/>
      <x:c r="I8" s="21" t="str"/>
      <x:c r="J8" s="21" t="str"/>
      <x:c r="K8" s="21" t="str">
        <x:v>Scheduled</x:v>
      </x:c>
      <x:c r="L8" s="21" t="str">
        <x:v>2026-05-28 00:42</x:v>
      </x:c>
      <x:c r="M8" s="21" t="str"/>
    </x:row>
    <x:row r="9">
      <x:c r="A9" s="21" t="str">
        <x:v>RUN-007</x:v>
      </x:c>
      <x:c r="B9" s="21" t="str">
        <x:v>2026-05-28 00:42</x:v>
      </x:c>
      <x:c r="C9" s="21" t="str">
        <x:v>Vercel Cron</x:v>
      </x:c>
      <x:c r="D9" s="21" t="str">
        <x:v>Safe Loop</x:v>
      </x:c>
      <x:c r="E9" s="21" t="str"/>
      <x:c r="F9" s="21" t="str"/>
      <x:c r="G9" s="21" t="str"/>
      <x:c r="H9" s="21" t="str"/>
      <x:c r="I9" s="21" t="str"/>
      <x:c r="J9" s="21" t="str"/>
      <x:c r="K9" s="21" t="str">
        <x:v>Scheduled</x:v>
      </x:c>
      <x:c r="L9" s="21" t="str">
        <x:v>2026-05-28 00:47</x:v>
      </x:c>
      <x:c r="M9" s="21" t="str"/>
    </x:row>
    <x:row r="10">
      <x:c r="A10" s="21" t="str">
        <x:v>RUN-008</x:v>
      </x:c>
      <x:c r="B10" s="21" t="str">
        <x:v>2026-05-28 00:47</x:v>
      </x:c>
      <x:c r="C10" s="21" t="str">
        <x:v>Vercel Cron</x:v>
      </x:c>
      <x:c r="D10" s="21" t="str">
        <x:v>Safe Loop</x:v>
      </x:c>
      <x:c r="E10" s="21" t="str"/>
      <x:c r="F10" s="21" t="str"/>
      <x:c r="G10" s="21" t="str"/>
      <x:c r="H10" s="21" t="str"/>
      <x:c r="I10" s="21" t="str"/>
      <x:c r="J10" s="21" t="str"/>
      <x:c r="K10" s="21" t="str">
        <x:v>Scheduled</x:v>
      </x:c>
      <x:c r="L10" s="21" t="str">
        <x:v>2026-05-28 00:52</x:v>
      </x:c>
      <x:c r="M10" s="21" t="str"/>
    </x:row>
    <x:row r="11">
      <x:c r="A11" s="21" t="str">
        <x:v>RUN-009</x:v>
      </x:c>
      <x:c r="B11" s="21" t="str">
        <x:v>2026-05-28 00:52</x:v>
      </x:c>
      <x:c r="C11" s="21" t="str">
        <x:v>Vercel Cron</x:v>
      </x:c>
      <x:c r="D11" s="21" t="str">
        <x:v>Safe Loop</x:v>
      </x:c>
      <x:c r="E11" s="21" t="str"/>
      <x:c r="F11" s="21" t="str"/>
      <x:c r="G11" s="21" t="str"/>
      <x:c r="H11" s="21" t="str"/>
      <x:c r="I11" s="21" t="str"/>
      <x:c r="J11" s="21" t="str"/>
      <x:c r="K11" s="21" t="str">
        <x:v>Scheduled</x:v>
      </x:c>
      <x:c r="L11" s="21" t="str">
        <x:v>2026-05-28 00:57</x:v>
      </x:c>
      <x:c r="M11" s="21" t="str"/>
    </x:row>
    <x:row r="12">
      <x:c r="A12" s="21" t="str">
        <x:v>RUN-010</x:v>
      </x:c>
      <x:c r="B12" s="21" t="str">
        <x:v>2026-05-28 00:57</x:v>
      </x:c>
      <x:c r="C12" s="21" t="str">
        <x:v>Vercel Cron</x:v>
      </x:c>
      <x:c r="D12" s="21" t="str">
        <x:v>Safe Loop</x:v>
      </x:c>
      <x:c r="E12" s="21" t="str"/>
      <x:c r="F12" s="21" t="str"/>
      <x:c r="G12" s="21" t="str"/>
      <x:c r="H12" s="21" t="str"/>
      <x:c r="I12" s="21" t="str"/>
      <x:c r="J12" s="21" t="str"/>
      <x:c r="K12" s="21" t="str">
        <x:v>Scheduled</x:v>
      </x:c>
      <x:c r="L12" s="21" t="str">
        <x:v>2026-05-28 01:02</x:v>
      </x:c>
      <x:c r="M12" s="21" t="str"/>
    </x:row>
    <x:row r="13">
      <x:c r="A13" s="21" t="str">
        <x:v>RUN-011</x:v>
      </x:c>
      <x:c r="B13" s="21" t="str">
        <x:v>2026-05-28 01:02</x:v>
      </x:c>
      <x:c r="C13" s="21" t="str">
        <x:v>Vercel Cron</x:v>
      </x:c>
      <x:c r="D13" s="21" t="str">
        <x:v>Safe Loop</x:v>
      </x:c>
      <x:c r="E13" s="21" t="str"/>
      <x:c r="F13" s="21" t="str"/>
      <x:c r="G13" s="21" t="str"/>
      <x:c r="H13" s="21" t="str"/>
      <x:c r="I13" s="21" t="str"/>
      <x:c r="J13" s="21" t="str"/>
      <x:c r="K13" s="21" t="str">
        <x:v>Scheduled</x:v>
      </x:c>
      <x:c r="L13" s="21" t="str">
        <x:v>2026-05-28 01:07</x:v>
      </x:c>
      <x:c r="M13" s="21" t="str"/>
    </x:row>
    <x:row r="14">
      <x:c r="A14" s="21" t="str">
        <x:v>RUN-012</x:v>
      </x:c>
      <x:c r="B14" s="21" t="str">
        <x:v>2026-05-28 01:07</x:v>
      </x:c>
      <x:c r="C14" s="21" t="str">
        <x:v>Vercel Cron</x:v>
      </x:c>
      <x:c r="D14" s="21" t="str">
        <x:v>Safe Loop</x:v>
      </x:c>
      <x:c r="E14" s="21" t="str"/>
      <x:c r="F14" s="21" t="str"/>
      <x:c r="G14" s="21" t="str"/>
      <x:c r="H14" s="21" t="str"/>
      <x:c r="I14" s="21" t="str"/>
      <x:c r="J14" s="21" t="str"/>
      <x:c r="K14" s="21" t="str">
        <x:v>Scheduled</x:v>
      </x:c>
      <x:c r="L14" s="21" t="str">
        <x:v>2026-05-28 01:12</x:v>
      </x:c>
      <x:c r="M14" s="21" t="str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92650b2f25b141ca"/>
  </x:tableParts>
</x:worksheet>
</file>